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8800" windowHeight="16580"/>
  </bookViews>
  <sheets>
    <sheet sheetId="1" name="Índice" state="visible" r:id="rId4"/>
    <sheet sheetId="2" name="EQUIPO TÉCNICO" state="visible" r:id="rId5"/>
    <sheet sheetId="3" name="EQUIPO ARTÍSTICO" state="visible" r:id="rId6"/>
  </sheets>
  <definedNames>
    <definedName name="_xlnm._FilterDatabase">'Índice'!$A$1:$K$44</definedName>
    <definedName name="Nombres">'Índice'!$A$2:$A$200</definedName>
  </definedNames>
  <calcPr calcId="171027"/>
</workbook>
</file>

<file path=xl/sharedStrings.xml><?xml version="1.0" encoding="utf-8"?>
<sst xmlns="http://schemas.openxmlformats.org/spreadsheetml/2006/main" count="55" uniqueCount="31">
  <si>
    <t>NOMBRE COMPLETO</t>
  </si>
  <si>
    <t>SEXO</t>
  </si>
  <si>
    <t>FECHA DE NACIMIENTO</t>
  </si>
  <si>
    <t>DNI</t>
  </si>
  <si>
    <t>NAF</t>
  </si>
  <si>
    <t>CATEGORIA (FUNCIÓN)</t>
  </si>
  <si>
    <t>% RETENCIÓN</t>
  </si>
  <si>
    <t>IBAN</t>
  </si>
  <si>
    <t>NÚMERO DE TELÉFONO</t>
  </si>
  <si>
    <t>DIRECCIÓN DE CORREO ELECTRÓNICO</t>
  </si>
  <si>
    <t>DIRECCIÓN POSTAL</t>
  </si>
  <si>
    <t>CREW //LISTA DE TRABAJADORES PARA ALTA</t>
  </si>
  <si>
    <t>NOMBRE DE LA EMPRESA</t>
  </si>
  <si>
    <t>JAKIENS VIDEO DESIGN SL B98733488 CL\SEVILLA 25</t>
  </si>
  <si>
    <t>PROYECTO</t>
  </si>
  <si>
    <t>XXX</t>
  </si>
  <si>
    <t xml:space="preserve">LUGAR DE REALIZACIÓN </t>
  </si>
  <si>
    <t>VALENCIA</t>
  </si>
  <si>
    <t>N.º</t>
  </si>
  <si>
    <t>FECHA DE ALTA</t>
  </si>
  <si>
    <t>FECHA DE BAJA</t>
  </si>
  <si>
    <t xml:space="preserve">IMPORTE BRUTO PACTADO 
(pdte cierre nómina)</t>
  </si>
  <si>
    <t>CAST //LISTA DE TRABAJADORES PARA ALTA</t>
  </si>
  <si>
    <t>Nombre Completo</t>
  </si>
  <si>
    <t xml:space="preserve">CATEGORIA 
(FUNCIÓN)</t>
  </si>
  <si>
    <t>Salario por sesión</t>
  </si>
  <si>
    <r>
      <t xml:space="preserve">IMPORTE TOTAL BRUTO previsto
</t>
    </r>
    <r>
      <rPr>
        <b/>
        <color rgb="FFC00000"/>
        <family val="2"/>
        <sz val="11"/>
        <rFont val="Calibri"/>
      </rPr>
      <t>(pdte cierre nómina)</t>
    </r>
  </si>
  <si>
    <t>% Retención</t>
  </si>
  <si>
    <t>Fecha de Nacimiento</t>
  </si>
  <si>
    <t>Sexo</t>
  </si>
  <si>
    <t>Nº de teléfono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</si>
</sst>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/m/yyyy"/>
    <numFmt numFmtId="165" formatCode="dd/mm/yyyy"/>
    <numFmt numFmtId="166" formatCode="d&quot;/&quot;mm"/>
    <numFmt numFmtId="167" formatCode="_-* #,##0.00 &quot;€&quot;_-;-* #,##0.00 &quot;€&quot;_-;_-* &quot;-&quot;?? &quot;€&quot;_-;_-@"/>
    <numFmt numFmtId="168" formatCode="#,##0.00 [$€-1]"/>
    <numFmt numFmtId="169" formatCode="#,##0.00 &quot;€&quot;"/>
  </numFmts>
  <fonts count="20" x14ac:knownFonts="1">
    <font>
      <color theme="1"/>
      <family val="2"/>
      <scheme val="minor"/>
      <sz val="11"/>
      <name val="Calibri"/>
    </font>
    <font>
      <color rgb="FF2F5496"/>
      <family val="2"/>
      <sz val="11"/>
      <name val="Calibri"/>
    </font>
    <font>
      <color rgb="FF000000"/>
      <family val="2"/>
      <sz val="11"/>
      <name val="Calibri"/>
    </font>
    <font>
      <u/>
      <color rgb="FF000000"/>
      <family val="2"/>
      <sz val="11"/>
      <name val="Calibri"/>
    </font>
    <font>
      <u/>
      <color rgb="FF0563C1"/>
      <family val="2"/>
      <sz val="11"/>
      <name val="Calibri"/>
    </font>
    <font>
      <b/>
      <color rgb="FF000000"/>
      <family val="2"/>
      <sz val="11"/>
      <name val="Calibri"/>
    </font>
    <font>
      <color theme="1"/>
      <family val="2"/>
      <sz val="11"/>
      <name val="Calibri"/>
    </font>
    <font>
      <u/>
      <color theme="1"/>
      <family val="2"/>
      <sz val="11"/>
      <name val="Calibri"/>
    </font>
    <font>
      <b/>
      <color rgb="FFFFFFFF"/>
      <family val="2"/>
      <sz val="18"/>
      <name val="Calibri"/>
    </font>
    <font>
      <family val="2"/>
      <sz val="11"/>
      <name val="Calibri"/>
    </font>
    <font>
      <b/>
      <color rgb="FF2F5496"/>
      <family val="2"/>
      <sz val="15"/>
      <name val="Calibri"/>
    </font>
    <font>
      <b/>
      <color rgb="FFFF0000"/>
      <family val="2"/>
      <sz val="15"/>
      <name val="Calibri"/>
    </font>
    <font>
      <color rgb="FFFF0000"/>
      <family val="2"/>
      <sz val="11"/>
      <name val="Calibri"/>
    </font>
    <font>
      <b/>
      <color theme="0"/>
      <family val="2"/>
      <sz val="18"/>
      <name val="Calibri"/>
    </font>
    <font>
      <color rgb="FF2F5496"/>
      <family val="2"/>
      <sz val="14"/>
      <name val="Calibri"/>
    </font>
    <font>
      <family val="2"/>
      <sz val="14"/>
      <name val="Calibri"/>
    </font>
    <font>
      <b/>
      <color rgb="FFFF0000"/>
      <family val="2"/>
      <sz val="14"/>
      <name val="Calibri"/>
    </font>
    <font>
      <b/>
      <color theme="1"/>
      <family val="2"/>
      <sz val="11"/>
      <name val="Calibri"/>
    </font>
    <font>
      <color theme="1"/>
      <sz val="12"/>
      <name val="Calibri (Cuerpo)"/>
    </font>
    <font>
      <u/>
      <color rgb="FF0563C1"/>
      <sz val="12"/>
      <name val="Calibri (Cuerpo)"/>
    </font>
  </fonts>
  <fills count="2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rgb="FFB4C6E7"/>
      </patternFill>
    </fill>
    <fill>
      <patternFill patternType="solid">
        <fgColor theme="8" tint="0.3999755851924192"/>
        <bgColor rgb="FFB4C6E7"/>
      </patternFill>
    </fill>
    <fill>
      <patternFill patternType="solid">
        <fgColor theme="0" tint="-0.0499893185216834"/>
        <bgColor rgb="FFDEEAF6"/>
      </patternFill>
    </fill>
    <fill>
      <patternFill patternType="solid">
        <fgColor theme="9" tint="0.7999816888943144"/>
        <bgColor rgb="FFDEEAF6"/>
      </patternFill>
    </fill>
    <fill>
      <patternFill patternType="solid">
        <fgColor theme="5" tint="0.5999938962981048"/>
        <bgColor rgb="FFDEEAF6"/>
      </patternFill>
    </fill>
    <fill>
      <patternFill patternType="solid">
        <fgColor theme="6" tint="0.7999816888943144"/>
        <bgColor rgb="FFDEEAF6"/>
      </patternFill>
    </fill>
    <fill>
      <patternFill patternType="solid">
        <fgColor theme="8" tint="0.7999816888943144"/>
        <bgColor rgb="FFDEEAF6"/>
      </patternFill>
    </fill>
    <fill>
      <patternFill patternType="solid">
        <fgColor theme="0"/>
        <bgColor rgb="FFDEEAF6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rgb="FFD9E2F3"/>
      </patternFill>
    </fill>
    <fill>
      <patternFill patternType="solid">
        <fgColor theme="5" tint="0.5999938962981048"/>
        <bgColor rgb="FFD9E2F3"/>
      </patternFill>
    </fill>
    <fill>
      <patternFill patternType="solid">
        <fgColor theme="6" tint="0.7999816888943144"/>
        <bgColor rgb="FFD9E2F3"/>
      </patternFill>
    </fill>
    <fill>
      <patternFill patternType="solid">
        <fgColor theme="8" tint="0.7999816888943144"/>
        <bgColor rgb="FFD9E2F3"/>
      </patternFill>
    </fill>
    <fill>
      <patternFill patternType="solid">
        <fgColor theme="0"/>
        <bgColor rgb="FFD9E2F3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546A"/>
      </left>
      <right/>
      <top style="thin">
        <color rgb="FF44546A"/>
      </top>
      <bottom style="thin">
        <color rgb="FF44546A"/>
      </bottom>
      <diagonal/>
    </border>
    <border>
      <left/>
      <right/>
      <top style="thin">
        <color rgb="FF44546A"/>
      </top>
      <bottom style="thin">
        <color rgb="FF44546A"/>
      </bottom>
      <diagonal/>
    </border>
    <border>
      <left/>
      <right style="thin">
        <color rgb="FF44546A"/>
      </right>
      <top style="thin">
        <color rgb="FF44546A"/>
      </top>
      <bottom style="thin">
        <color rgb="FF44546A"/>
      </bottom>
      <diagonal/>
    </border>
    <border>
      <left style="thin">
        <color rgb="FF44546A"/>
      </left>
      <right/>
      <top style="thin">
        <color rgb="FF44546A"/>
      </top>
      <bottom style="thin">
        <color rgb="FF7F7F7F"/>
      </bottom>
      <diagonal/>
    </border>
    <border>
      <left/>
      <right/>
      <top style="thin">
        <color rgb="FF44546A"/>
      </top>
      <bottom style="thin">
        <color rgb="FF7F7F7F"/>
      </bottom>
      <diagonal/>
    </border>
    <border>
      <left/>
      <right style="thin">
        <color rgb="FF7F7F7F"/>
      </right>
      <top style="thin">
        <color rgb="FF44546A"/>
      </top>
      <bottom style="thin">
        <color rgb="FF7F7F7F"/>
      </bottom>
      <diagonal/>
    </border>
    <border>
      <left style="thin">
        <color rgb="FF44546A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9" fontId="2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9" fontId="2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9" fontId="2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9" fontId="2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/>
    </xf>
    <xf numFmtId="9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165" fontId="2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3" fillId="4" borderId="5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164" fontId="6" fillId="4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9" fillId="0" borderId="7" xfId="0" applyFont="1" applyBorder="1"/>
    <xf numFmtId="0" fontId="9" fillId="0" borderId="8" xfId="0" applyFont="1" applyBorder="1"/>
    <xf numFmtId="0" fontId="1" fillId="6" borderId="6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2" fillId="0" borderId="7" xfId="0" applyFont="1" applyBorder="1"/>
    <xf numFmtId="0" fontId="12" fillId="0" borderId="8" xfId="0" applyFont="1" applyBorder="1"/>
    <xf numFmtId="0" fontId="12" fillId="6" borderId="9" xfId="0" applyFont="1" applyFill="1" applyBorder="1" applyAlignment="1">
      <alignment horizontal="left" vertical="center" wrapText="1"/>
    </xf>
    <xf numFmtId="0" fontId="12" fillId="0" borderId="10" xfId="0" applyFont="1" applyBorder="1"/>
    <xf numFmtId="0" fontId="12" fillId="0" borderId="11" xfId="0" applyFont="1" applyBorder="1"/>
    <xf numFmtId="0" fontId="1" fillId="6" borderId="12" xfId="0" applyFont="1" applyFill="1" applyBorder="1" applyAlignment="1">
      <alignment horizontal="left" vertical="center" wrapText="1"/>
    </xf>
    <xf numFmtId="0" fontId="9" fillId="0" borderId="13" xfId="0" applyFont="1" applyBorder="1"/>
    <xf numFmtId="0" fontId="9" fillId="0" borderId="14" xfId="0" applyFont="1" applyBorder="1"/>
    <xf numFmtId="0" fontId="6" fillId="0" borderId="0" xfId="0" applyFont="1" applyAlignment="1">
      <alignment horizontal="center" vertical="center" wrapText="1"/>
    </xf>
    <xf numFmtId="166" fontId="6" fillId="0" borderId="0" xfId="0" applyNumberFormat="1" applyFont="1" applyAlignment="1">
      <alignment horizontal="left" vertical="center" wrapText="1"/>
    </xf>
    <xf numFmtId="167" fontId="6" fillId="0" borderId="0" xfId="0" applyNumberFormat="1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166" fontId="1" fillId="0" borderId="5" xfId="0" applyNumberFormat="1" applyFont="1" applyBorder="1" applyAlignment="1">
      <alignment horizontal="center" vertical="center" wrapText="1"/>
    </xf>
    <xf numFmtId="167" fontId="1" fillId="7" borderId="5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 wrapText="1"/>
    </xf>
    <xf numFmtId="166" fontId="5" fillId="8" borderId="5" xfId="0" applyNumberFormat="1" applyFont="1" applyFill="1" applyBorder="1" applyAlignment="1">
      <alignment horizontal="center" vertical="center" wrapText="1"/>
    </xf>
    <xf numFmtId="166" fontId="2" fillId="9" borderId="5" xfId="0" applyNumberFormat="1" applyFont="1" applyFill="1" applyBorder="1" applyAlignment="1">
      <alignment horizontal="center" vertical="center" wrapText="1"/>
    </xf>
    <xf numFmtId="168" fontId="2" fillId="0" borderId="5" xfId="0" applyNumberFormat="1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 wrapText="1"/>
    </xf>
    <xf numFmtId="164" fontId="2" fillId="0" borderId="16" xfId="0" applyNumberFormat="1" applyFont="1" applyBorder="1" applyAlignment="1">
      <alignment horizontal="center" vertical="center" wrapText="1"/>
    </xf>
    <xf numFmtId="166" fontId="5" fillId="8" borderId="16" xfId="0" applyNumberFormat="1" applyFont="1" applyFill="1" applyBorder="1" applyAlignment="1">
      <alignment horizontal="center" vertical="center" wrapText="1"/>
    </xf>
    <xf numFmtId="166" fontId="2" fillId="9" borderId="16" xfId="0" applyNumberFormat="1" applyFont="1" applyFill="1" applyBorder="1" applyAlignment="1">
      <alignment horizontal="center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9" fontId="2" fillId="0" borderId="16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66" fontId="2" fillId="8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left" vertical="center" wrapText="1"/>
    </xf>
    <xf numFmtId="0" fontId="15" fillId="0" borderId="7" xfId="0" applyFont="1" applyBorder="1"/>
    <xf numFmtId="0" fontId="15" fillId="0" borderId="8" xfId="0" applyFont="1" applyBorder="1"/>
    <xf numFmtId="0" fontId="11" fillId="3" borderId="6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left" vertical="center" wrapText="1"/>
    </xf>
    <xf numFmtId="0" fontId="16" fillId="0" borderId="10" xfId="0" applyFont="1" applyBorder="1"/>
    <xf numFmtId="0" fontId="16" fillId="0" borderId="11" xfId="0" applyFont="1" applyBorder="1"/>
    <xf numFmtId="0" fontId="14" fillId="6" borderId="12" xfId="0" applyFont="1" applyFill="1" applyBorder="1" applyAlignment="1">
      <alignment horizontal="left" vertical="center" wrapText="1"/>
    </xf>
    <xf numFmtId="0" fontId="15" fillId="0" borderId="13" xfId="0" applyFont="1" applyBorder="1"/>
    <xf numFmtId="0" fontId="15" fillId="0" borderId="14" xfId="0" applyFont="1" applyBorder="1"/>
    <xf numFmtId="167" fontId="6" fillId="0" borderId="0" xfId="0" applyNumberFormat="1" applyFont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left" vertical="center"/>
    </xf>
    <xf numFmtId="0" fontId="6" fillId="10" borderId="5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/>
    </xf>
    <xf numFmtId="167" fontId="6" fillId="10" borderId="5" xfId="0" applyNumberFormat="1" applyFont="1" applyFill="1" applyBorder="1" applyAlignment="1">
      <alignment horizontal="center" vertical="center"/>
    </xf>
    <xf numFmtId="167" fontId="17" fillId="11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12" borderId="3" xfId="0" applyFont="1" applyFill="1" applyBorder="1" applyAlignment="1">
      <alignment horizontal="center" vertical="center" wrapText="1"/>
    </xf>
    <xf numFmtId="0" fontId="18" fillId="12" borderId="3" xfId="0" applyFont="1" applyFill="1" applyBorder="1" applyAlignment="1">
      <alignment vertical="center" wrapText="1"/>
    </xf>
    <xf numFmtId="164" fontId="18" fillId="13" borderId="3" xfId="0" applyNumberFormat="1" applyFont="1" applyFill="1" applyBorder="1" applyAlignment="1">
      <alignment horizontal="center" vertical="center" wrapText="1"/>
    </xf>
    <xf numFmtId="164" fontId="18" fillId="14" borderId="3" xfId="0" applyNumberFormat="1" applyFont="1" applyFill="1" applyBorder="1" applyAlignment="1">
      <alignment horizontal="center" vertical="center" wrapText="1"/>
    </xf>
    <xf numFmtId="169" fontId="18" fillId="15" borderId="3" xfId="0" applyNumberFormat="1" applyFont="1" applyFill="1" applyBorder="1" applyAlignment="1">
      <alignment horizontal="center" vertical="center"/>
    </xf>
    <xf numFmtId="169" fontId="18" fillId="16" borderId="18" xfId="0" applyNumberFormat="1" applyFont="1" applyFill="1" applyBorder="1" applyAlignment="1">
      <alignment horizontal="center" vertical="center"/>
    </xf>
    <xf numFmtId="9" fontId="18" fillId="17" borderId="18" xfId="0" applyNumberFormat="1" applyFont="1" applyFill="1" applyBorder="1" applyAlignment="1">
      <alignment horizontal="center" vertical="center" wrapText="1"/>
    </xf>
    <xf numFmtId="0" fontId="18" fillId="12" borderId="3" xfId="0" applyFont="1" applyFill="1" applyBorder="1" applyAlignment="1">
      <alignment horizontal="center" vertical="center"/>
    </xf>
    <xf numFmtId="1" fontId="18" fillId="12" borderId="3" xfId="0" applyNumberFormat="1" applyFont="1" applyFill="1" applyBorder="1" applyAlignment="1">
      <alignment horizontal="center" vertical="center" wrapText="1"/>
    </xf>
    <xf numFmtId="164" fontId="18" fillId="18" borderId="3" xfId="0" applyNumberFormat="1" applyFont="1" applyFill="1" applyBorder="1" applyAlignment="1">
      <alignment horizontal="center" vertical="center"/>
    </xf>
    <xf numFmtId="0" fontId="18" fillId="18" borderId="3" xfId="0" applyFont="1" applyFill="1" applyBorder="1" applyAlignment="1">
      <alignment horizontal="center" vertical="center" wrapText="1"/>
    </xf>
    <xf numFmtId="0" fontId="18" fillId="17" borderId="3" xfId="0" applyFont="1" applyFill="1" applyBorder="1" applyAlignment="1">
      <alignment horizontal="center" vertical="center"/>
    </xf>
    <xf numFmtId="0" fontId="19" fillId="17" borderId="4" xfId="0" applyFont="1" applyFill="1" applyBorder="1" applyAlignment="1">
      <alignment vertical="center" wrapText="1"/>
    </xf>
    <xf numFmtId="0" fontId="18" fillId="17" borderId="5" xfId="0" applyFont="1" applyFill="1" applyBorder="1" applyAlignment="1">
      <alignment vertical="center" wrapText="1"/>
    </xf>
    <xf numFmtId="0" fontId="18" fillId="19" borderId="18" xfId="0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vertical="center" wrapText="1"/>
    </xf>
    <xf numFmtId="164" fontId="18" fillId="20" borderId="3" xfId="0" applyNumberFormat="1" applyFont="1" applyFill="1" applyBorder="1" applyAlignment="1">
      <alignment horizontal="center" vertical="center" wrapText="1"/>
    </xf>
    <xf numFmtId="169" fontId="18" fillId="21" borderId="18" xfId="0" applyNumberFormat="1" applyFont="1" applyFill="1" applyBorder="1" applyAlignment="1">
      <alignment horizontal="center" vertical="center" wrapText="1"/>
    </xf>
    <xf numFmtId="169" fontId="18" fillId="22" borderId="18" xfId="0" applyNumberFormat="1" applyFont="1" applyFill="1" applyBorder="1" applyAlignment="1">
      <alignment horizontal="center" vertical="center" wrapText="1"/>
    </xf>
    <xf numFmtId="9" fontId="18" fillId="23" borderId="18" xfId="0" applyNumberFormat="1" applyFont="1" applyFill="1" applyBorder="1" applyAlignment="1">
      <alignment horizontal="center" vertical="center" wrapText="1"/>
    </xf>
    <xf numFmtId="0" fontId="18" fillId="19" borderId="3" xfId="0" applyFont="1" applyFill="1" applyBorder="1" applyAlignment="1">
      <alignment horizontal="center" vertical="center"/>
    </xf>
    <xf numFmtId="1" fontId="18" fillId="19" borderId="18" xfId="0" applyNumberFormat="1" applyFont="1" applyFill="1" applyBorder="1" applyAlignment="1">
      <alignment horizontal="center" vertical="center"/>
    </xf>
    <xf numFmtId="0" fontId="18" fillId="18" borderId="18" xfId="0" applyFont="1" applyFill="1" applyBorder="1" applyAlignment="1">
      <alignment horizontal="center" vertical="center" wrapText="1"/>
    </xf>
    <xf numFmtId="0" fontId="18" fillId="23" borderId="18" xfId="0" applyFont="1" applyFill="1" applyBorder="1" applyAlignment="1">
      <alignment horizontal="center" vertical="center"/>
    </xf>
    <xf numFmtId="0" fontId="18" fillId="23" borderId="19" xfId="0" applyFont="1" applyFill="1" applyBorder="1" applyAlignment="1">
      <alignment vertical="center"/>
    </xf>
    <xf numFmtId="0" fontId="18" fillId="23" borderId="1" xfId="0" applyFont="1" applyFill="1" applyBorder="1" applyAlignment="1">
      <alignment vertical="center"/>
    </xf>
    <xf numFmtId="0" fontId="18" fillId="19" borderId="18" xfId="0" applyFont="1" applyFill="1" applyBorder="1" applyAlignment="1">
      <alignment horizontal="center" vertical="center"/>
    </xf>
    <xf numFmtId="164" fontId="18" fillId="18" borderId="20" xfId="0" applyNumberFormat="1" applyFont="1" applyFill="1" applyBorder="1" applyAlignment="1">
      <alignment horizontal="center" vertical="center"/>
    </xf>
    <xf numFmtId="0" fontId="18" fillId="23" borderId="5" xfId="0" applyFont="1" applyFill="1" applyBorder="1" applyAlignment="1">
      <alignment vertical="center"/>
    </xf>
    <xf numFmtId="0" fontId="18" fillId="12" borderId="18" xfId="0" applyFont="1" applyFill="1" applyBorder="1" applyAlignment="1">
      <alignment horizontal="center" vertical="center" wrapText="1"/>
    </xf>
    <xf numFmtId="0" fontId="18" fillId="12" borderId="18" xfId="0" applyFont="1" applyFill="1" applyBorder="1" applyAlignment="1">
      <alignment vertical="center" wrapText="1"/>
    </xf>
    <xf numFmtId="164" fontId="18" fillId="12" borderId="18" xfId="0" applyNumberFormat="1" applyFont="1" applyFill="1" applyBorder="1" applyAlignment="1">
      <alignment horizontal="center" vertical="center" wrapText="1"/>
    </xf>
    <xf numFmtId="169" fontId="18" fillId="15" borderId="18" xfId="0" applyNumberFormat="1" applyFont="1" applyFill="1" applyBorder="1" applyAlignment="1">
      <alignment horizontal="center" vertical="center" wrapText="1"/>
    </xf>
    <xf numFmtId="169" fontId="18" fillId="16" borderId="18" xfId="0" applyNumberFormat="1" applyFont="1" applyFill="1" applyBorder="1" applyAlignment="1">
      <alignment horizontal="center" vertical="center" wrapText="1"/>
    </xf>
    <xf numFmtId="0" fontId="18" fillId="12" borderId="18" xfId="0" applyFont="1" applyFill="1" applyBorder="1" applyAlignment="1">
      <alignment horizontal="center" vertical="center"/>
    </xf>
    <xf numFmtId="0" fontId="18" fillId="17" borderId="18" xfId="0" applyFont="1" applyFill="1" applyBorder="1" applyAlignment="1">
      <alignment horizontal="center" vertical="center"/>
    </xf>
    <xf numFmtId="49" fontId="18" fillId="18" borderId="5" xfId="0" applyNumberFormat="1" applyFont="1" applyFill="1" applyBorder="1" applyAlignment="1">
      <alignment vertical="center"/>
    </xf>
    <xf numFmtId="0" fontId="18" fillId="17" borderId="5" xfId="0" applyFont="1" applyFill="1" applyBorder="1" applyAlignment="1">
      <alignment vertical="center"/>
    </xf>
    <xf numFmtId="0" fontId="18" fillId="19" borderId="3" xfId="0" applyFont="1" applyFill="1" applyBorder="1" applyAlignment="1">
      <alignment horizontal="center" vertical="center" wrapText="1"/>
    </xf>
    <xf numFmtId="0" fontId="18" fillId="19" borderId="3" xfId="0" applyFont="1" applyFill="1" applyBorder="1" applyAlignment="1">
      <alignment vertical="center" wrapText="1"/>
    </xf>
    <xf numFmtId="164" fontId="18" fillId="19" borderId="3" xfId="0" applyNumberFormat="1" applyFont="1" applyFill="1" applyBorder="1" applyAlignment="1">
      <alignment horizontal="center" vertical="center" wrapText="1"/>
    </xf>
    <xf numFmtId="169" fontId="18" fillId="22" borderId="3" xfId="0" applyNumberFormat="1" applyFont="1" applyFill="1" applyBorder="1" applyAlignment="1">
      <alignment horizontal="center" vertical="center" wrapText="1"/>
    </xf>
    <xf numFmtId="9" fontId="18" fillId="23" borderId="3" xfId="0" applyNumberFormat="1" applyFont="1" applyFill="1" applyBorder="1" applyAlignment="1">
      <alignment horizontal="center" vertical="center" wrapText="1"/>
    </xf>
    <xf numFmtId="165" fontId="18" fillId="18" borderId="21" xfId="0" applyNumberFormat="1" applyFont="1" applyFill="1" applyBorder="1" applyAlignment="1">
      <alignment horizontal="center" vertical="center"/>
    </xf>
    <xf numFmtId="0" fontId="18" fillId="18" borderId="22" xfId="0" applyFont="1" applyFill="1" applyBorder="1" applyAlignment="1">
      <alignment horizontal="center" vertical="center" wrapText="1"/>
    </xf>
    <xf numFmtId="0" fontId="18" fillId="23" borderId="3" xfId="0" applyFont="1" applyFill="1" applyBorder="1" applyAlignment="1">
      <alignment horizontal="center" vertical="center"/>
    </xf>
    <xf numFmtId="0" fontId="18" fillId="23" borderId="4" xfId="0" applyFont="1" applyFill="1" applyBorder="1" applyAlignment="1">
      <alignment vertical="center"/>
    </xf>
    <xf numFmtId="49" fontId="18" fillId="18" borderId="1" xfId="0" applyNumberFormat="1" applyFont="1" applyFill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167" fontId="6" fillId="0" borderId="0" xfId="0" applyNumberFormat="1" applyFont="1"/>
    <xf numFmtId="167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A6:O1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.º"/>
    <tableColumn id="2" name="NOMBRE COMPLETO"/>
    <tableColumn id="3" name="SEXO"/>
    <tableColumn id="4" name="FECHA DE NACIMIENTO"/>
    <tableColumn id="5" name="DNI"/>
    <tableColumn id="6" name="NAF"/>
    <tableColumn id="7" name="FECHA DE ALTA"/>
    <tableColumn id="8" name="FECHA DE BAJA"/>
    <tableColumn id="9" name="CATEGORIA (FUNCIÓN)"/>
    <tableColumn id="10" name="IMPORTE BRUTO PACTADO _x000a_(pdte cierre nómina)"/>
    <tableColumn id="11" name="% RETENCIÓN"/>
    <tableColumn id="12" name="IBAN"/>
    <tableColumn id="13" name="NÚMERO DE TELÉFONO"/>
    <tableColumn id="14" name="DIRECCIÓN DE CORREO ELECTRÓNICO"/>
    <tableColumn id="15" name="DIRECCIÓN POSTAL"/>
  </tableColumns>
  <tableStyleInfo name="TableStyleLight4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2" displayName="Table_2" ref="A16:O1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TableStyleLight4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3" displayName="Table_3" ref="A17:O17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TableStyleLight4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4" displayName="Table_4" ref="A18:O18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TableStyleLight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_5" displayName="Table_5" ref="A19:O2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TableStyleLight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_6" displayName="Table_6" ref="B7:P14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N.º"/>
    <tableColumn id="2" name="Nombre Completo"/>
    <tableColumn id="3" name="CATEGORIA _x000a_(FUNCIÓN)"/>
    <tableColumn id="4" name="FECHA DE ALTA"/>
    <tableColumn id="5" name="FECHA DE BAJA"/>
    <tableColumn id="6" name="Salario por sesión"/>
    <tableColumn id="7" name="IMPORTE TOTAL BRUTO previsto_x000a_(pdte cierre nómina)"/>
    <tableColumn id="8" name="% Retención"/>
    <tableColumn id="9" name="DNI"/>
    <tableColumn id="10" name="NAF"/>
    <tableColumn id="11" name="Fecha de Nacimiento"/>
    <tableColumn id="12" name="Sexo"/>
    <tableColumn id="13" name="Nº de teléfono"/>
    <tableColumn id="14" name="DIRECCIÓN DE CORREO ELECTRÓNICO"/>
    <tableColumn id="15" name="DIRECCIÓN POSTAL"/>
  </tableColumns>
  <tableStyleInfo name="EQUIPO ARTÍSTIC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T1002"/>
  <sheetViews>
    <sheetView workbookViewId="0" zoomScale="100" zoomScaleNormal="100">
      <selection activeCell="F5" sqref="F5"/>
    </sheetView>
  </sheetViews>
  <sheetFormatPr defaultRowHeight="15" outlineLevelRow="0" outlineLevelCol="0" x14ac:dyDescent="0.2" defaultColWidth="14.5"/>
  <cols>
    <col min="1" max="1" width="28.1640625" customWidth="1"/>
    <col min="2" max="2" width="8.33203125" customWidth="1"/>
    <col min="3" max="7" width="21.5" customWidth="1"/>
    <col min="8" max="8" width="31.33203125" customWidth="1"/>
    <col min="10" max="10" width="33.33203125" customWidth="1"/>
    <col min="11" max="20" width="36.6640625" customWidth="1"/>
  </cols>
  <sheetData>
    <row r="1" ht="23.25" customHeight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</row>
    <row r="2" ht="23.25" customHeight="1" spans="1:20" x14ac:dyDescent="0.25">
      <c r="A2" s="5"/>
      <c r="B2" s="6"/>
      <c r="C2" s="7"/>
      <c r="D2" s="6"/>
      <c r="E2" s="6"/>
      <c r="F2" s="8"/>
      <c r="G2" s="9"/>
      <c r="H2" s="5"/>
      <c r="I2" s="5"/>
      <c r="J2" s="10"/>
      <c r="K2" s="11"/>
      <c r="L2" s="12"/>
      <c r="M2" s="12"/>
      <c r="N2" s="12"/>
      <c r="O2" s="12"/>
      <c r="P2" s="12"/>
      <c r="Q2" s="12"/>
      <c r="R2" s="12"/>
      <c r="S2" s="12"/>
      <c r="T2" s="12"/>
    </row>
    <row r="3" ht="23.25" customHeight="1" spans="1:20" x14ac:dyDescent="0.25">
      <c r="A3" s="5"/>
      <c r="B3" s="6"/>
      <c r="C3" s="7"/>
      <c r="D3" s="6"/>
      <c r="E3" s="6"/>
      <c r="F3" s="8"/>
      <c r="G3" s="9"/>
      <c r="H3" s="5"/>
      <c r="I3" s="5"/>
      <c r="J3" s="13"/>
      <c r="K3" s="14"/>
      <c r="L3" s="15"/>
      <c r="M3" s="15"/>
      <c r="N3" s="15"/>
      <c r="O3" s="15"/>
      <c r="P3" s="15"/>
      <c r="Q3" s="15"/>
      <c r="R3" s="15"/>
      <c r="S3" s="15"/>
      <c r="T3" s="15"/>
    </row>
    <row r="4" ht="23.25" customHeight="1" spans="1:20" x14ac:dyDescent="0.25">
      <c r="A4" s="16"/>
      <c r="B4" s="17"/>
      <c r="C4" s="18"/>
      <c r="D4" s="17"/>
      <c r="E4" s="17"/>
      <c r="F4" s="19"/>
      <c r="G4" s="20"/>
      <c r="H4" s="16"/>
      <c r="I4" s="16"/>
      <c r="J4" s="21"/>
      <c r="K4" s="22"/>
      <c r="L4" s="23"/>
      <c r="M4" s="23"/>
      <c r="N4" s="23"/>
      <c r="O4" s="23"/>
      <c r="P4" s="23"/>
      <c r="Q4" s="23"/>
      <c r="R4" s="23"/>
      <c r="S4" s="23"/>
      <c r="T4" s="23"/>
    </row>
    <row r="5" ht="23.25" customHeight="1" spans="1:20" x14ac:dyDescent="0.25">
      <c r="A5" s="5"/>
      <c r="B5" s="6"/>
      <c r="C5" s="7"/>
      <c r="D5" s="6"/>
      <c r="E5" s="6"/>
      <c r="F5" s="8"/>
      <c r="G5" s="9"/>
      <c r="H5" s="5"/>
      <c r="I5" s="5"/>
      <c r="J5" s="10"/>
      <c r="K5" s="11"/>
      <c r="L5" s="12"/>
      <c r="M5" s="12"/>
      <c r="N5" s="12"/>
      <c r="O5" s="12"/>
      <c r="P5" s="12"/>
      <c r="Q5" s="12"/>
      <c r="R5" s="12"/>
      <c r="S5" s="12"/>
      <c r="T5" s="12"/>
    </row>
    <row r="6" ht="23.25" customHeight="1" spans="1:20" x14ac:dyDescent="0.25">
      <c r="A6" s="16"/>
      <c r="B6" s="17"/>
      <c r="C6" s="18"/>
      <c r="D6" s="17"/>
      <c r="E6" s="17"/>
      <c r="F6" s="19"/>
      <c r="G6" s="20"/>
      <c r="H6" s="16"/>
      <c r="I6" s="16"/>
      <c r="J6" s="21"/>
      <c r="K6" s="22"/>
      <c r="L6" s="23"/>
      <c r="M6" s="23"/>
      <c r="N6" s="23"/>
      <c r="O6" s="23"/>
      <c r="P6" s="23"/>
      <c r="Q6" s="23"/>
      <c r="R6" s="23"/>
      <c r="S6" s="23"/>
      <c r="T6" s="23"/>
    </row>
    <row r="7" ht="23.25" customHeight="1" spans="1:20" x14ac:dyDescent="0.25">
      <c r="A7" s="5"/>
      <c r="B7" s="6"/>
      <c r="C7" s="7"/>
      <c r="D7" s="6"/>
      <c r="E7" s="6"/>
      <c r="F7" s="8"/>
      <c r="G7" s="9"/>
      <c r="H7" s="5"/>
      <c r="I7" s="5"/>
      <c r="J7" s="10"/>
      <c r="K7" s="11"/>
      <c r="L7" s="12"/>
      <c r="M7" s="12"/>
      <c r="N7" s="12"/>
      <c r="O7" s="12"/>
      <c r="P7" s="12"/>
      <c r="Q7" s="12"/>
      <c r="R7" s="12"/>
      <c r="S7" s="12"/>
      <c r="T7" s="12"/>
    </row>
    <row r="8" ht="23.25" customHeight="1" spans="1:20" x14ac:dyDescent="0.25">
      <c r="A8" s="16"/>
      <c r="B8" s="17"/>
      <c r="C8" s="18"/>
      <c r="D8" s="17"/>
      <c r="E8" s="17"/>
      <c r="F8" s="19"/>
      <c r="G8" s="20"/>
      <c r="H8" s="16"/>
      <c r="I8" s="16"/>
      <c r="J8" s="21"/>
      <c r="K8" s="21"/>
      <c r="L8" s="23"/>
      <c r="M8" s="23"/>
      <c r="N8" s="23"/>
      <c r="O8" s="23"/>
      <c r="P8" s="23"/>
      <c r="Q8" s="23"/>
      <c r="R8" s="23"/>
      <c r="S8" s="23"/>
      <c r="T8" s="23"/>
    </row>
    <row r="9" ht="23.25" customHeight="1" spans="1:20" x14ac:dyDescent="0.25">
      <c r="A9" s="5"/>
      <c r="B9" s="6"/>
      <c r="C9" s="7"/>
      <c r="D9" s="6"/>
      <c r="E9" s="6"/>
      <c r="F9" s="8"/>
      <c r="G9" s="9"/>
      <c r="H9" s="5"/>
      <c r="I9" s="5"/>
      <c r="J9" s="10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ht="23.25" customHeight="1" spans="1:20" x14ac:dyDescent="0.25">
      <c r="A10" s="16"/>
      <c r="B10" s="17"/>
      <c r="C10" s="18"/>
      <c r="D10" s="17"/>
      <c r="E10" s="17"/>
      <c r="F10" s="19"/>
      <c r="G10" s="20"/>
      <c r="H10" s="16"/>
      <c r="I10" s="16"/>
      <c r="J10" s="24"/>
      <c r="K10" s="25"/>
      <c r="L10" s="26"/>
      <c r="M10" s="26"/>
      <c r="N10" s="26"/>
      <c r="O10" s="26"/>
      <c r="P10" s="26"/>
      <c r="Q10" s="26"/>
      <c r="R10" s="26"/>
      <c r="S10" s="26"/>
      <c r="T10" s="26"/>
    </row>
    <row r="11" ht="23.25" customHeight="1" spans="1:20" x14ac:dyDescent="0.25">
      <c r="A11" s="5"/>
      <c r="B11" s="6"/>
      <c r="C11" s="7"/>
      <c r="D11" s="6"/>
      <c r="E11" s="6"/>
      <c r="F11" s="8"/>
      <c r="G11" s="9"/>
      <c r="H11" s="5"/>
      <c r="I11" s="5"/>
      <c r="J11" s="5"/>
      <c r="K11" s="11"/>
      <c r="L11" s="12"/>
      <c r="M11" s="12"/>
      <c r="N11" s="12"/>
      <c r="O11" s="12"/>
      <c r="P11" s="12"/>
      <c r="Q11" s="12"/>
      <c r="R11" s="12"/>
      <c r="S11" s="12"/>
      <c r="T11" s="12"/>
    </row>
    <row r="12" ht="23.25" customHeight="1" spans="1:20" x14ac:dyDescent="0.25">
      <c r="A12" s="16"/>
      <c r="B12" s="17"/>
      <c r="C12" s="18"/>
      <c r="D12" s="17"/>
      <c r="E12" s="17"/>
      <c r="F12" s="19"/>
      <c r="G12" s="20"/>
      <c r="H12" s="16"/>
      <c r="I12" s="16"/>
      <c r="J12" s="21"/>
      <c r="K12" s="22"/>
      <c r="L12" s="23"/>
      <c r="M12" s="23"/>
      <c r="N12" s="23"/>
      <c r="O12" s="23"/>
      <c r="P12" s="23"/>
      <c r="Q12" s="23"/>
      <c r="R12" s="23"/>
      <c r="S12" s="23"/>
      <c r="T12" s="23"/>
    </row>
    <row r="13" ht="23.25" customHeight="1" spans="1:20" x14ac:dyDescent="0.25">
      <c r="A13" s="5"/>
      <c r="B13" s="6"/>
      <c r="C13" s="7"/>
      <c r="D13" s="6"/>
      <c r="E13" s="6"/>
      <c r="F13" s="8"/>
      <c r="G13" s="9"/>
      <c r="H13" s="5"/>
      <c r="I13" s="5"/>
      <c r="J13" s="10"/>
      <c r="K13" s="11"/>
      <c r="L13" s="12"/>
      <c r="M13" s="12"/>
      <c r="N13" s="12"/>
      <c r="O13" s="12"/>
      <c r="P13" s="12"/>
      <c r="Q13" s="12"/>
      <c r="R13" s="12"/>
      <c r="S13" s="12"/>
      <c r="T13" s="12"/>
    </row>
    <row r="14" ht="23.25" customHeight="1" spans="1:20" x14ac:dyDescent="0.25">
      <c r="A14" s="27"/>
      <c r="B14" s="28"/>
      <c r="C14" s="29"/>
      <c r="D14" s="28"/>
      <c r="E14" s="28"/>
      <c r="F14" s="30"/>
      <c r="G14" s="31"/>
      <c r="H14" s="27"/>
      <c r="I14" s="27"/>
      <c r="J14" s="32"/>
      <c r="K14" s="27"/>
      <c r="L14" s="26"/>
      <c r="M14" s="26"/>
      <c r="N14" s="26"/>
      <c r="O14" s="26"/>
      <c r="P14" s="26"/>
      <c r="Q14" s="26"/>
      <c r="R14" s="26"/>
      <c r="S14" s="26"/>
      <c r="T14" s="26"/>
    </row>
    <row r="15" ht="23.25" customHeight="1" spans="1:20" x14ac:dyDescent="0.25">
      <c r="A15" s="33"/>
      <c r="B15" s="34"/>
      <c r="C15" s="35"/>
      <c r="D15" s="34"/>
      <c r="E15" s="34"/>
      <c r="F15" s="36"/>
      <c r="G15" s="37"/>
      <c r="H15" s="33"/>
      <c r="I15" s="33"/>
      <c r="J15" s="38"/>
      <c r="K15" s="39"/>
      <c r="L15" s="40"/>
      <c r="M15" s="40"/>
      <c r="N15" s="40"/>
      <c r="O15" s="40"/>
      <c r="P15" s="40"/>
      <c r="Q15" s="40"/>
      <c r="R15" s="40"/>
      <c r="S15" s="40"/>
      <c r="T15" s="40"/>
    </row>
    <row r="16" ht="23.25" customHeight="1" spans="1:20" x14ac:dyDescent="0.25">
      <c r="A16" s="27"/>
      <c r="B16" s="28"/>
      <c r="C16" s="29"/>
      <c r="D16" s="28"/>
      <c r="E16" s="28"/>
      <c r="F16" s="30"/>
      <c r="G16" s="31"/>
      <c r="H16" s="27"/>
      <c r="I16" s="27"/>
      <c r="J16" s="41"/>
      <c r="K16" s="41"/>
      <c r="L16" s="23"/>
      <c r="M16" s="23"/>
      <c r="N16" s="23"/>
      <c r="O16" s="23"/>
      <c r="P16" s="23"/>
      <c r="Q16" s="23"/>
      <c r="R16" s="23"/>
      <c r="S16" s="23"/>
      <c r="T16" s="23"/>
    </row>
    <row r="17" ht="23.25" customHeight="1" spans="1:20" x14ac:dyDescent="0.25">
      <c r="A17" s="33"/>
      <c r="B17" s="34"/>
      <c r="C17" s="35"/>
      <c r="D17" s="34"/>
      <c r="E17" s="34"/>
      <c r="F17" s="36"/>
      <c r="G17" s="42"/>
      <c r="H17" s="33"/>
      <c r="I17" s="33"/>
      <c r="J17" s="43"/>
      <c r="K17" s="43"/>
      <c r="L17" s="12"/>
      <c r="M17" s="12"/>
      <c r="N17" s="12"/>
      <c r="O17" s="12"/>
      <c r="P17" s="12"/>
      <c r="Q17" s="12"/>
      <c r="R17" s="12"/>
      <c r="S17" s="12"/>
      <c r="T17" s="12"/>
    </row>
    <row r="18" ht="23.25" customHeight="1" spans="1:20" x14ac:dyDescent="0.25">
      <c r="A18" s="27"/>
      <c r="B18" s="28"/>
      <c r="C18" s="29"/>
      <c r="D18" s="28"/>
      <c r="E18" s="28"/>
      <c r="F18" s="30"/>
      <c r="G18" s="31"/>
      <c r="H18" s="27"/>
      <c r="I18" s="27"/>
      <c r="J18" s="32"/>
      <c r="K18" s="27"/>
      <c r="L18" s="26"/>
      <c r="M18" s="26"/>
      <c r="N18" s="26"/>
      <c r="O18" s="26"/>
      <c r="P18" s="26"/>
      <c r="Q18" s="26"/>
      <c r="R18" s="26"/>
      <c r="S18" s="26"/>
      <c r="T18" s="26"/>
    </row>
    <row r="19" ht="23.25" customHeight="1" spans="1:20" x14ac:dyDescent="0.25">
      <c r="A19" s="33"/>
      <c r="B19" s="34"/>
      <c r="C19" s="44"/>
      <c r="D19" s="34"/>
      <c r="E19" s="34"/>
      <c r="F19" s="36"/>
      <c r="G19" s="37"/>
      <c r="H19" s="33"/>
      <c r="I19" s="33"/>
      <c r="J19" s="43"/>
      <c r="K19" s="43"/>
      <c r="L19" s="12"/>
      <c r="M19" s="12"/>
      <c r="N19" s="12"/>
      <c r="O19" s="12"/>
      <c r="P19" s="12"/>
      <c r="Q19" s="12"/>
      <c r="R19" s="12"/>
      <c r="S19" s="12"/>
      <c r="T19" s="12"/>
    </row>
    <row r="20" ht="23.25" customHeight="1" spans="1:20" x14ac:dyDescent="0.25">
      <c r="A20" s="27"/>
      <c r="B20" s="28"/>
      <c r="C20" s="29"/>
      <c r="D20" s="28"/>
      <c r="E20" s="28"/>
      <c r="F20" s="30"/>
      <c r="G20" s="31"/>
      <c r="H20" s="27"/>
      <c r="I20" s="27"/>
      <c r="J20" s="41"/>
      <c r="K20" s="41"/>
      <c r="L20" s="23"/>
      <c r="M20" s="23"/>
      <c r="N20" s="23"/>
      <c r="O20" s="23"/>
      <c r="P20" s="23"/>
      <c r="Q20" s="23"/>
      <c r="R20" s="23"/>
      <c r="S20" s="23"/>
      <c r="T20" s="23"/>
    </row>
    <row r="21" ht="23.25" customHeight="1" spans="1:20" x14ac:dyDescent="0.25">
      <c r="A21" s="33"/>
      <c r="B21" s="34"/>
      <c r="C21" s="35"/>
      <c r="D21" s="34"/>
      <c r="E21" s="34"/>
      <c r="F21" s="36"/>
      <c r="G21" s="37"/>
      <c r="H21" s="33"/>
      <c r="I21" s="33"/>
      <c r="J21" s="43"/>
      <c r="K21" s="43"/>
      <c r="L21" s="12"/>
      <c r="M21" s="12"/>
      <c r="N21" s="12"/>
      <c r="O21" s="12"/>
      <c r="P21" s="12"/>
      <c r="Q21" s="12"/>
      <c r="R21" s="12"/>
      <c r="S21" s="12"/>
      <c r="T21" s="12"/>
    </row>
    <row r="22" ht="23.25" customHeight="1" spans="1:20" x14ac:dyDescent="0.25">
      <c r="A22" s="27"/>
      <c r="B22" s="28"/>
      <c r="C22" s="29"/>
      <c r="D22" s="28"/>
      <c r="E22" s="28"/>
      <c r="F22" s="30"/>
      <c r="G22" s="31"/>
      <c r="H22" s="27"/>
      <c r="I22" s="27"/>
      <c r="J22" s="41"/>
      <c r="K22" s="41"/>
      <c r="L22" s="23"/>
      <c r="M22" s="23"/>
      <c r="N22" s="23"/>
      <c r="O22" s="23"/>
      <c r="P22" s="23"/>
      <c r="Q22" s="23"/>
      <c r="R22" s="23"/>
      <c r="S22" s="23"/>
      <c r="T22" s="23"/>
    </row>
    <row r="23" ht="23.25" customHeight="1" spans="1:20" x14ac:dyDescent="0.25">
      <c r="A23" s="33"/>
      <c r="B23" s="34"/>
      <c r="C23" s="35"/>
      <c r="D23" s="34"/>
      <c r="E23" s="34"/>
      <c r="F23" s="36"/>
      <c r="G23" s="37"/>
      <c r="H23" s="33"/>
      <c r="I23" s="33"/>
      <c r="J23" s="43"/>
      <c r="K23" s="45"/>
      <c r="L23" s="46"/>
      <c r="M23" s="46"/>
      <c r="N23" s="46"/>
      <c r="O23" s="46"/>
      <c r="P23" s="46"/>
      <c r="Q23" s="46"/>
      <c r="R23" s="46"/>
      <c r="S23" s="46"/>
      <c r="T23" s="46"/>
    </row>
    <row r="24" ht="23.25" customHeight="1" spans="1:20" x14ac:dyDescent="0.25">
      <c r="A24" s="27"/>
      <c r="B24" s="28"/>
      <c r="C24" s="29"/>
      <c r="D24" s="28"/>
      <c r="E24" s="28"/>
      <c r="F24" s="30"/>
      <c r="G24" s="31"/>
      <c r="H24" s="27"/>
      <c r="I24" s="27"/>
      <c r="J24" s="32"/>
      <c r="K24" s="27"/>
      <c r="L24" s="26"/>
      <c r="M24" s="26"/>
      <c r="N24" s="26"/>
      <c r="O24" s="26"/>
      <c r="P24" s="26"/>
      <c r="Q24" s="26"/>
      <c r="R24" s="26"/>
      <c r="S24" s="26"/>
      <c r="T24" s="26"/>
    </row>
    <row r="25" ht="23.25" customHeight="1" spans="1:20" x14ac:dyDescent="0.25">
      <c r="A25" s="33"/>
      <c r="B25" s="34"/>
      <c r="C25" s="35"/>
      <c r="D25" s="34"/>
      <c r="E25" s="34"/>
      <c r="F25" s="36"/>
      <c r="G25" s="37"/>
      <c r="H25" s="33"/>
      <c r="I25" s="33"/>
      <c r="J25" s="38"/>
      <c r="K25" s="33"/>
      <c r="L25" s="15"/>
      <c r="M25" s="15"/>
      <c r="N25" s="15"/>
      <c r="O25" s="15"/>
      <c r="P25" s="15"/>
      <c r="Q25" s="15"/>
      <c r="R25" s="15"/>
      <c r="S25" s="15"/>
      <c r="T25" s="15"/>
    </row>
    <row r="26" ht="23.25" customHeight="1" spans="1:20" x14ac:dyDescent="0.25">
      <c r="A26" s="27"/>
      <c r="B26" s="28"/>
      <c r="C26" s="29"/>
      <c r="D26" s="28"/>
      <c r="E26" s="28"/>
      <c r="F26" s="30"/>
      <c r="G26" s="31"/>
      <c r="H26" s="27"/>
      <c r="I26" s="27"/>
      <c r="J26" s="41"/>
      <c r="K26" s="41"/>
      <c r="L26" s="23"/>
      <c r="M26" s="23"/>
      <c r="N26" s="23"/>
      <c r="O26" s="23"/>
      <c r="P26" s="23"/>
      <c r="Q26" s="23"/>
      <c r="R26" s="23"/>
      <c r="S26" s="23"/>
      <c r="T26" s="23"/>
    </row>
    <row r="27" ht="23.25" customHeight="1" spans="1:20" x14ac:dyDescent="0.25">
      <c r="A27" s="33"/>
      <c r="B27" s="34"/>
      <c r="C27" s="35"/>
      <c r="D27" s="34"/>
      <c r="E27" s="34"/>
      <c r="F27" s="36"/>
      <c r="G27" s="37"/>
      <c r="H27" s="33"/>
      <c r="I27" s="33"/>
      <c r="J27" s="43"/>
      <c r="K27" s="43"/>
      <c r="L27" s="12"/>
      <c r="M27" s="12"/>
      <c r="N27" s="12"/>
      <c r="O27" s="12"/>
      <c r="P27" s="12"/>
      <c r="Q27" s="12"/>
      <c r="R27" s="12"/>
      <c r="S27" s="12"/>
      <c r="T27" s="12"/>
    </row>
    <row r="28" ht="23.25" customHeight="1" spans="1:20" x14ac:dyDescent="0.25">
      <c r="A28" s="27"/>
      <c r="B28" s="28"/>
      <c r="C28" s="29"/>
      <c r="D28" s="28"/>
      <c r="E28" s="28"/>
      <c r="F28" s="30"/>
      <c r="G28" s="31"/>
      <c r="H28" s="27"/>
      <c r="I28" s="27"/>
      <c r="J28" s="41"/>
      <c r="K28" s="41"/>
      <c r="L28" s="23"/>
      <c r="M28" s="23"/>
      <c r="N28" s="23"/>
      <c r="O28" s="23"/>
      <c r="P28" s="23"/>
      <c r="Q28" s="23"/>
      <c r="R28" s="23"/>
      <c r="S28" s="23"/>
      <c r="T28" s="23"/>
    </row>
    <row r="29" ht="23.25" customHeight="1" spans="1:20" x14ac:dyDescent="0.25">
      <c r="A29" s="27"/>
      <c r="B29" s="28"/>
      <c r="C29" s="29"/>
      <c r="D29" s="28"/>
      <c r="E29" s="28"/>
      <c r="F29" s="30"/>
      <c r="G29" s="31"/>
      <c r="H29" s="27"/>
      <c r="I29" s="27"/>
      <c r="J29" s="41"/>
      <c r="K29" s="41"/>
      <c r="L29" s="23"/>
      <c r="M29" s="23"/>
      <c r="N29" s="23"/>
      <c r="O29" s="23"/>
      <c r="P29" s="23"/>
      <c r="Q29" s="23"/>
      <c r="R29" s="23"/>
      <c r="S29" s="23"/>
      <c r="T29" s="23"/>
    </row>
    <row r="30" ht="23.25" customHeight="1" spans="1:20" x14ac:dyDescent="0.25">
      <c r="A30" s="27"/>
      <c r="B30" s="28"/>
      <c r="C30" s="29"/>
      <c r="D30" s="28"/>
      <c r="E30" s="28"/>
      <c r="F30" s="30"/>
      <c r="G30" s="31"/>
      <c r="H30" s="27"/>
      <c r="I30" s="27"/>
      <c r="J30" s="41"/>
      <c r="K30" s="41"/>
      <c r="L30" s="23"/>
      <c r="M30" s="23"/>
      <c r="N30" s="23"/>
      <c r="O30" s="23"/>
      <c r="P30" s="23"/>
      <c r="Q30" s="23"/>
      <c r="R30" s="23"/>
      <c r="S30" s="23"/>
      <c r="T30" s="23"/>
    </row>
    <row r="31" ht="23.25" customHeight="1" spans="1:20" x14ac:dyDescent="0.25">
      <c r="A31" s="27"/>
      <c r="B31" s="28"/>
      <c r="C31" s="29"/>
      <c r="D31" s="28"/>
      <c r="E31" s="28"/>
      <c r="F31" s="30"/>
      <c r="G31" s="31"/>
      <c r="H31" s="27"/>
      <c r="I31" s="27"/>
      <c r="J31" s="41"/>
      <c r="K31" s="47"/>
      <c r="L31" s="23"/>
      <c r="M31" s="23"/>
      <c r="N31" s="23"/>
      <c r="O31" s="23"/>
      <c r="P31" s="23"/>
      <c r="Q31" s="23"/>
      <c r="R31" s="23"/>
      <c r="S31" s="23"/>
      <c r="T31" s="23"/>
    </row>
    <row r="32" ht="23.25" customHeight="1" spans="1:20" x14ac:dyDescent="0.25">
      <c r="A32" s="27"/>
      <c r="B32" s="28"/>
      <c r="C32" s="29"/>
      <c r="D32" s="28"/>
      <c r="E32" s="28"/>
      <c r="F32" s="30"/>
      <c r="G32" s="31"/>
      <c r="H32" s="27"/>
      <c r="I32" s="27"/>
      <c r="J32" s="41"/>
      <c r="K32" s="47"/>
      <c r="L32" s="23"/>
      <c r="M32" s="23"/>
      <c r="N32" s="23"/>
      <c r="O32" s="23"/>
      <c r="P32" s="23"/>
      <c r="Q32" s="23"/>
      <c r="R32" s="23"/>
      <c r="S32" s="23"/>
      <c r="T32" s="23"/>
    </row>
    <row r="33" ht="23.25" customHeight="1" spans="1:20" x14ac:dyDescent="0.25">
      <c r="A33" s="27"/>
      <c r="B33" s="28"/>
      <c r="C33" s="29"/>
      <c r="D33" s="28"/>
      <c r="E33" s="28"/>
      <c r="F33" s="30"/>
      <c r="G33" s="31"/>
      <c r="H33" s="27"/>
      <c r="I33" s="27"/>
      <c r="J33" s="41"/>
      <c r="K33" s="47"/>
      <c r="L33" s="23"/>
      <c r="M33" s="23"/>
      <c r="N33" s="23"/>
      <c r="O33" s="23"/>
      <c r="P33" s="23"/>
      <c r="Q33" s="23"/>
      <c r="R33" s="23"/>
      <c r="S33" s="23"/>
      <c r="T33" s="23"/>
    </row>
    <row r="34" ht="23.25" customHeight="1" spans="1:20" x14ac:dyDescent="0.25">
      <c r="A34" s="27"/>
      <c r="B34" s="28"/>
      <c r="C34" s="29"/>
      <c r="D34" s="28"/>
      <c r="E34" s="28"/>
      <c r="F34" s="30"/>
      <c r="G34" s="31"/>
      <c r="H34" s="27"/>
      <c r="I34" s="27"/>
      <c r="J34" s="41"/>
      <c r="K34" s="47"/>
      <c r="L34" s="23"/>
      <c r="M34" s="23"/>
      <c r="N34" s="23"/>
      <c r="O34" s="23"/>
      <c r="P34" s="23"/>
      <c r="Q34" s="23"/>
      <c r="R34" s="23"/>
      <c r="S34" s="23"/>
      <c r="T34" s="23"/>
    </row>
    <row r="35" ht="23.25" customHeight="1" spans="1:20" x14ac:dyDescent="0.25">
      <c r="A35" s="27"/>
      <c r="B35" s="28"/>
      <c r="C35" s="29"/>
      <c r="D35" s="28"/>
      <c r="E35" s="28"/>
      <c r="F35" s="30"/>
      <c r="G35" s="31"/>
      <c r="H35" s="27"/>
      <c r="I35" s="27"/>
      <c r="J35" s="41"/>
      <c r="K35" s="47"/>
      <c r="L35" s="23"/>
      <c r="M35" s="23"/>
      <c r="N35" s="23"/>
      <c r="O35" s="23"/>
      <c r="P35" s="23"/>
      <c r="Q35" s="23"/>
      <c r="R35" s="23"/>
      <c r="S35" s="23"/>
      <c r="T35" s="23"/>
    </row>
    <row r="36" ht="23.25" customHeight="1" spans="1:20" x14ac:dyDescent="0.25">
      <c r="A36" s="27"/>
      <c r="B36" s="28"/>
      <c r="C36" s="29"/>
      <c r="D36" s="28"/>
      <c r="E36" s="28"/>
      <c r="F36" s="30"/>
      <c r="G36" s="31"/>
      <c r="H36" s="27"/>
      <c r="I36" s="27"/>
      <c r="J36" s="41"/>
      <c r="K36" s="47"/>
      <c r="L36" s="23"/>
      <c r="M36" s="23"/>
      <c r="N36" s="23"/>
      <c r="O36" s="23"/>
      <c r="P36" s="23"/>
      <c r="Q36" s="23"/>
      <c r="R36" s="23"/>
      <c r="S36" s="23"/>
      <c r="T36" s="23"/>
    </row>
    <row r="37" ht="23.25" customHeight="1" spans="1:20" x14ac:dyDescent="0.25">
      <c r="A37" s="27"/>
      <c r="B37" s="28"/>
      <c r="C37" s="29"/>
      <c r="D37" s="28"/>
      <c r="E37" s="28"/>
      <c r="F37" s="30"/>
      <c r="G37" s="31"/>
      <c r="H37" s="27"/>
      <c r="I37" s="27"/>
      <c r="J37" s="41"/>
      <c r="K37" s="47"/>
      <c r="L37" s="23"/>
      <c r="M37" s="23"/>
      <c r="N37" s="23"/>
      <c r="O37" s="23"/>
      <c r="P37" s="23"/>
      <c r="Q37" s="23"/>
      <c r="R37" s="23"/>
      <c r="S37" s="23"/>
      <c r="T37" s="23"/>
    </row>
    <row r="38" ht="23.25" customHeight="1" spans="1:20" x14ac:dyDescent="0.25">
      <c r="A38" s="48"/>
      <c r="B38" s="49"/>
      <c r="C38" s="50"/>
      <c r="D38" s="49"/>
      <c r="E38" s="49"/>
      <c r="F38" s="51"/>
      <c r="G38" s="31"/>
      <c r="H38" s="48"/>
      <c r="I38" s="48"/>
      <c r="J38" s="52"/>
      <c r="K38" s="52"/>
      <c r="L38" s="53"/>
      <c r="M38" s="53"/>
      <c r="N38" s="53"/>
      <c r="O38" s="53"/>
      <c r="P38" s="53"/>
      <c r="Q38" s="53"/>
      <c r="R38" s="23"/>
      <c r="S38" s="23"/>
      <c r="T38" s="23"/>
    </row>
    <row r="39" ht="23.25" customHeight="1" spans="1:20" x14ac:dyDescent="0.25">
      <c r="A39" s="27"/>
      <c r="B39" s="28"/>
      <c r="C39" s="29"/>
      <c r="D39" s="28"/>
      <c r="E39" s="28"/>
      <c r="F39" s="30"/>
      <c r="G39" s="31"/>
      <c r="H39" s="27"/>
      <c r="I39" s="27"/>
      <c r="J39" s="41"/>
      <c r="K39" s="47"/>
      <c r="L39" s="23"/>
      <c r="M39" s="23"/>
      <c r="N39" s="23"/>
      <c r="O39" s="23"/>
      <c r="P39" s="23"/>
      <c r="Q39" s="23"/>
      <c r="R39" s="23"/>
      <c r="S39" s="23"/>
      <c r="T39" s="23"/>
    </row>
    <row r="40" ht="23.25" customHeight="1" spans="1:20" x14ac:dyDescent="0.25">
      <c r="A40" s="27"/>
      <c r="B40" s="28"/>
      <c r="C40" s="29"/>
      <c r="D40" s="28"/>
      <c r="E40" s="28"/>
      <c r="F40" s="30"/>
      <c r="G40" s="31"/>
      <c r="H40" s="27"/>
      <c r="I40" s="27"/>
      <c r="J40" s="41"/>
      <c r="K40" s="47"/>
      <c r="L40" s="23"/>
      <c r="M40" s="23"/>
      <c r="N40" s="23"/>
      <c r="O40" s="23"/>
      <c r="P40" s="23"/>
      <c r="Q40" s="23"/>
      <c r="R40" s="23"/>
      <c r="S40" s="23"/>
      <c r="T40" s="23"/>
    </row>
    <row r="41" ht="23.25" customHeight="1" spans="1:20" x14ac:dyDescent="0.25">
      <c r="A41" s="27"/>
      <c r="B41" s="28"/>
      <c r="C41" s="29"/>
      <c r="D41" s="28"/>
      <c r="E41" s="28"/>
      <c r="F41" s="30"/>
      <c r="G41" s="31"/>
      <c r="H41" s="27"/>
      <c r="I41" s="27"/>
      <c r="J41" s="41"/>
      <c r="K41" s="47"/>
      <c r="L41" s="23"/>
      <c r="M41" s="23"/>
      <c r="N41" s="23"/>
      <c r="O41" s="23"/>
      <c r="P41" s="23"/>
      <c r="Q41" s="23"/>
      <c r="R41" s="23"/>
      <c r="S41" s="23"/>
      <c r="T41" s="23"/>
    </row>
    <row r="42" ht="23.25" customHeight="1" spans="1:20" x14ac:dyDescent="0.25">
      <c r="A42" s="27"/>
      <c r="B42" s="28"/>
      <c r="C42" s="29"/>
      <c r="D42" s="28"/>
      <c r="E42" s="28"/>
      <c r="F42" s="30"/>
      <c r="G42" s="31"/>
      <c r="H42" s="27"/>
      <c r="I42" s="27"/>
      <c r="J42" s="41"/>
      <c r="K42" s="47"/>
      <c r="L42" s="23"/>
      <c r="M42" s="23"/>
      <c r="N42" s="23"/>
      <c r="O42" s="23"/>
      <c r="P42" s="23"/>
      <c r="Q42" s="23"/>
      <c r="R42" s="23"/>
      <c r="S42" s="23"/>
      <c r="T42" s="23"/>
    </row>
    <row r="43" ht="23.25" customHeight="1" spans="1:20" x14ac:dyDescent="0.25">
      <c r="A43" s="27"/>
      <c r="B43" s="28"/>
      <c r="C43" s="29"/>
      <c r="D43" s="28"/>
      <c r="E43" s="28"/>
      <c r="F43" s="30"/>
      <c r="G43" s="31"/>
      <c r="H43" s="27"/>
      <c r="I43" s="27"/>
      <c r="J43" s="41"/>
      <c r="K43" s="47"/>
      <c r="L43" s="23"/>
      <c r="M43" s="23"/>
      <c r="N43" s="23"/>
      <c r="O43" s="23"/>
      <c r="P43" s="23"/>
      <c r="Q43" s="23"/>
      <c r="R43" s="23"/>
      <c r="S43" s="23"/>
      <c r="T43" s="23"/>
    </row>
    <row r="44" ht="23.25" customHeight="1" spans="1:20" x14ac:dyDescent="0.25">
      <c r="A44" s="27"/>
      <c r="B44" s="28"/>
      <c r="C44" s="29"/>
      <c r="D44" s="28"/>
      <c r="E44" s="28"/>
      <c r="F44" s="30"/>
      <c r="G44" s="31"/>
      <c r="H44" s="27"/>
      <c r="I44" s="27"/>
      <c r="J44" s="41"/>
      <c r="K44" s="47"/>
      <c r="L44" s="23"/>
      <c r="M44" s="23"/>
      <c r="N44" s="23"/>
      <c r="O44" s="23"/>
      <c r="P44" s="23"/>
      <c r="Q44" s="23"/>
      <c r="R44" s="23"/>
      <c r="S44" s="23"/>
      <c r="T44" s="23"/>
    </row>
    <row r="45" ht="23.25" customHeight="1" spans="1:20" x14ac:dyDescent="0.25">
      <c r="A45" s="27"/>
      <c r="B45" s="28"/>
      <c r="C45" s="29"/>
      <c r="D45" s="28"/>
      <c r="E45" s="28"/>
      <c r="F45" s="30"/>
      <c r="G45" s="31"/>
      <c r="H45" s="27"/>
      <c r="I45" s="27"/>
      <c r="J45" s="41"/>
      <c r="K45" s="47"/>
      <c r="L45" s="23"/>
      <c r="M45" s="23"/>
      <c r="N45" s="23"/>
      <c r="O45" s="23"/>
      <c r="P45" s="23"/>
      <c r="Q45" s="23"/>
      <c r="R45" s="23"/>
      <c r="S45" s="23"/>
      <c r="T45" s="23"/>
    </row>
    <row r="46" ht="23.25" customHeight="1" spans="1:20" x14ac:dyDescent="0.25">
      <c r="A46" s="54"/>
      <c r="B46" s="55"/>
      <c r="C46" s="55"/>
      <c r="D46" s="55"/>
      <c r="E46" s="55"/>
      <c r="F46" s="55"/>
      <c r="G46" s="55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ht="23.25" customHeight="1" spans="1:20" x14ac:dyDescent="0.25">
      <c r="A47" s="54"/>
      <c r="B47" s="55"/>
      <c r="C47" s="55"/>
      <c r="D47" s="55"/>
      <c r="E47" s="55"/>
      <c r="F47" s="55"/>
      <c r="G47" s="55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ht="23.25" customHeight="1" spans="1:20" x14ac:dyDescent="0.25">
      <c r="A48" s="54"/>
      <c r="B48" s="55"/>
      <c r="C48" s="55"/>
      <c r="D48" s="55"/>
      <c r="E48" s="55"/>
      <c r="F48" s="55"/>
      <c r="G48" s="55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ht="23.25" customHeight="1" spans="1:20" x14ac:dyDescent="0.25">
      <c r="A49" s="54"/>
      <c r="B49" s="55"/>
      <c r="C49" s="55"/>
      <c r="D49" s="55"/>
      <c r="E49" s="55"/>
      <c r="F49" s="55"/>
      <c r="G49" s="55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ht="23.25" customHeight="1" spans="1:20" x14ac:dyDescent="0.25">
      <c r="A50" s="54"/>
      <c r="B50" s="55"/>
      <c r="C50" s="55"/>
      <c r="D50" s="55"/>
      <c r="E50" s="55"/>
      <c r="F50" s="55"/>
      <c r="G50" s="55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ht="23.25" customHeight="1" spans="1:20" x14ac:dyDescent="0.25">
      <c r="A51" s="54"/>
      <c r="B51" s="55"/>
      <c r="C51" s="55"/>
      <c r="D51" s="55"/>
      <c r="E51" s="55"/>
      <c r="F51" s="55"/>
      <c r="G51" s="55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ht="23.25" customHeight="1" spans="1:20" x14ac:dyDescent="0.25">
      <c r="A52" s="54"/>
      <c r="B52" s="55"/>
      <c r="C52" s="55"/>
      <c r="D52" s="55"/>
      <c r="E52" s="55"/>
      <c r="F52" s="55"/>
      <c r="G52" s="55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ht="23.25" customHeight="1" spans="1:20" x14ac:dyDescent="0.25">
      <c r="A53" s="54"/>
      <c r="B53" s="55"/>
      <c r="C53" s="55"/>
      <c r="D53" s="55"/>
      <c r="E53" s="55"/>
      <c r="F53" s="55"/>
      <c r="G53" s="55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ht="23.25" customHeight="1" spans="1:20" x14ac:dyDescent="0.25">
      <c r="A54" s="54"/>
      <c r="B54" s="55"/>
      <c r="C54" s="55"/>
      <c r="D54" s="55"/>
      <c r="E54" s="55"/>
      <c r="F54" s="55"/>
      <c r="G54" s="55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ht="23.25" customHeight="1" spans="1:20" x14ac:dyDescent="0.25">
      <c r="A55" s="54"/>
      <c r="B55" s="55"/>
      <c r="C55" s="55"/>
      <c r="D55" s="55"/>
      <c r="E55" s="55"/>
      <c r="F55" s="55"/>
      <c r="G55" s="55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ht="23.25" customHeight="1" spans="1:20" x14ac:dyDescent="0.25">
      <c r="A56" s="54"/>
      <c r="B56" s="55"/>
      <c r="C56" s="55"/>
      <c r="D56" s="55"/>
      <c r="E56" s="55"/>
      <c r="F56" s="55"/>
      <c r="G56" s="55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ht="23.25" customHeight="1" spans="1:20" x14ac:dyDescent="0.25">
      <c r="A57" s="54"/>
      <c r="B57" s="55"/>
      <c r="C57" s="55"/>
      <c r="D57" s="55"/>
      <c r="E57" s="55"/>
      <c r="F57" s="55"/>
      <c r="G57" s="55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ht="23.25" customHeight="1" spans="1:20" x14ac:dyDescent="0.25">
      <c r="A58" s="54"/>
      <c r="B58" s="55"/>
      <c r="C58" s="55"/>
      <c r="D58" s="55"/>
      <c r="E58" s="55"/>
      <c r="F58" s="55"/>
      <c r="G58" s="55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ht="23.25" customHeight="1" spans="1:20" x14ac:dyDescent="0.25">
      <c r="A59" s="54"/>
      <c r="B59" s="55"/>
      <c r="C59" s="55"/>
      <c r="D59" s="55"/>
      <c r="E59" s="55"/>
      <c r="F59" s="55"/>
      <c r="G59" s="55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ht="23.25" customHeight="1" spans="1:20" x14ac:dyDescent="0.25">
      <c r="A60" s="54"/>
      <c r="B60" s="55"/>
      <c r="C60" s="55"/>
      <c r="D60" s="55"/>
      <c r="E60" s="55"/>
      <c r="F60" s="55"/>
      <c r="G60" s="55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ht="23.25" customHeight="1" spans="1:20" x14ac:dyDescent="0.25">
      <c r="A61" s="54"/>
      <c r="B61" s="55"/>
      <c r="C61" s="55"/>
      <c r="D61" s="55"/>
      <c r="E61" s="55"/>
      <c r="F61" s="55"/>
      <c r="G61" s="55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ht="23.25" customHeight="1" spans="1:20" x14ac:dyDescent="0.25">
      <c r="A62" s="54"/>
      <c r="B62" s="55"/>
      <c r="C62" s="55"/>
      <c r="D62" s="55"/>
      <c r="E62" s="55"/>
      <c r="F62" s="55"/>
      <c r="G62" s="55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ht="23.25" customHeight="1" spans="1:20" x14ac:dyDescent="0.25">
      <c r="A63" s="54"/>
      <c r="B63" s="55"/>
      <c r="C63" s="55"/>
      <c r="D63" s="55"/>
      <c r="E63" s="55"/>
      <c r="F63" s="55"/>
      <c r="G63" s="55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ht="23.25" customHeight="1" spans="1:20" x14ac:dyDescent="0.25">
      <c r="A64" s="54"/>
      <c r="B64" s="55"/>
      <c r="C64" s="55"/>
      <c r="D64" s="55"/>
      <c r="E64" s="55"/>
      <c r="F64" s="55"/>
      <c r="G64" s="55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ht="23.25" customHeight="1" spans="1:20" x14ac:dyDescent="0.25">
      <c r="A65" s="54"/>
      <c r="B65" s="55"/>
      <c r="C65" s="55"/>
      <c r="D65" s="55"/>
      <c r="E65" s="55"/>
      <c r="F65" s="55"/>
      <c r="G65" s="55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ht="23.25" customHeight="1" spans="1:20" x14ac:dyDescent="0.25">
      <c r="A66" s="54"/>
      <c r="B66" s="55"/>
      <c r="C66" s="55"/>
      <c r="D66" s="55"/>
      <c r="E66" s="55"/>
      <c r="F66" s="55"/>
      <c r="G66" s="55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  <row r="67" ht="23.25" customHeight="1" spans="1:20" x14ac:dyDescent="0.25">
      <c r="A67" s="54"/>
      <c r="B67" s="55"/>
      <c r="C67" s="55"/>
      <c r="D67" s="55"/>
      <c r="E67" s="55"/>
      <c r="F67" s="55"/>
      <c r="G67" s="55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</row>
    <row r="68" ht="23.25" customHeight="1" spans="1:20" x14ac:dyDescent="0.25">
      <c r="A68" s="54"/>
      <c r="B68" s="55"/>
      <c r="C68" s="55"/>
      <c r="D68" s="55"/>
      <c r="E68" s="55"/>
      <c r="F68" s="55"/>
      <c r="G68" s="55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</row>
    <row r="69" ht="23.25" customHeight="1" spans="1:20" x14ac:dyDescent="0.25">
      <c r="A69" s="54"/>
      <c r="B69" s="55"/>
      <c r="C69" s="55"/>
      <c r="D69" s="55"/>
      <c r="E69" s="55"/>
      <c r="F69" s="55"/>
      <c r="G69" s="55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</row>
    <row r="70" ht="23.25" customHeight="1" spans="1:20" x14ac:dyDescent="0.25">
      <c r="A70" s="54"/>
      <c r="B70" s="55"/>
      <c r="C70" s="55"/>
      <c r="D70" s="55"/>
      <c r="E70" s="55"/>
      <c r="F70" s="55"/>
      <c r="G70" s="55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ht="23.25" customHeight="1" spans="1:20" x14ac:dyDescent="0.25">
      <c r="A71" s="54"/>
      <c r="B71" s="55"/>
      <c r="C71" s="55"/>
      <c r="D71" s="55"/>
      <c r="E71" s="55"/>
      <c r="F71" s="55"/>
      <c r="G71" s="55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 ht="23.25" customHeight="1" spans="1:20" x14ac:dyDescent="0.25">
      <c r="A72" s="54"/>
      <c r="B72" s="55"/>
      <c r="C72" s="55"/>
      <c r="D72" s="55"/>
      <c r="E72" s="55"/>
      <c r="F72" s="55"/>
      <c r="G72" s="55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</row>
    <row r="73" ht="23.25" customHeight="1" spans="1:20" x14ac:dyDescent="0.25">
      <c r="A73" s="54"/>
      <c r="B73" s="55"/>
      <c r="C73" s="55"/>
      <c r="D73" s="55"/>
      <c r="E73" s="55"/>
      <c r="F73" s="55"/>
      <c r="G73" s="55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</row>
    <row r="74" ht="23.25" customHeight="1" spans="1:20" x14ac:dyDescent="0.25">
      <c r="A74" s="54"/>
      <c r="B74" s="55"/>
      <c r="C74" s="55"/>
      <c r="D74" s="55"/>
      <c r="E74" s="55"/>
      <c r="F74" s="55"/>
      <c r="G74" s="55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</row>
    <row r="75" ht="23.25" customHeight="1" spans="1:20" x14ac:dyDescent="0.25">
      <c r="A75" s="54"/>
      <c r="B75" s="55"/>
      <c r="C75" s="55"/>
      <c r="D75" s="55"/>
      <c r="E75" s="55"/>
      <c r="F75" s="55"/>
      <c r="G75" s="55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</row>
    <row r="76" ht="23.25" customHeight="1" spans="1:20" x14ac:dyDescent="0.25">
      <c r="A76" s="54"/>
      <c r="B76" s="55"/>
      <c r="C76" s="55"/>
      <c r="D76" s="55"/>
      <c r="E76" s="55"/>
      <c r="F76" s="55"/>
      <c r="G76" s="55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</row>
    <row r="77" ht="23.25" customHeight="1" spans="1:20" x14ac:dyDescent="0.25">
      <c r="A77" s="54"/>
      <c r="B77" s="55"/>
      <c r="C77" s="55"/>
      <c r="D77" s="55"/>
      <c r="E77" s="55"/>
      <c r="F77" s="55"/>
      <c r="G77" s="55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</row>
    <row r="78" ht="23.25" customHeight="1" spans="1:20" x14ac:dyDescent="0.25">
      <c r="A78" s="54"/>
      <c r="B78" s="55"/>
      <c r="C78" s="55"/>
      <c r="D78" s="55"/>
      <c r="E78" s="55"/>
      <c r="F78" s="55"/>
      <c r="G78" s="55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</row>
    <row r="79" ht="23.25" customHeight="1" spans="1:20" x14ac:dyDescent="0.25">
      <c r="A79" s="54"/>
      <c r="B79" s="55"/>
      <c r="C79" s="55"/>
      <c r="D79" s="55"/>
      <c r="E79" s="55"/>
      <c r="F79" s="55"/>
      <c r="G79" s="55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</row>
    <row r="80" ht="23.25" customHeight="1" spans="1:20" x14ac:dyDescent="0.25">
      <c r="A80" s="54"/>
      <c r="B80" s="55"/>
      <c r="C80" s="55"/>
      <c r="D80" s="55"/>
      <c r="E80" s="55"/>
      <c r="F80" s="55"/>
      <c r="G80" s="55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</row>
    <row r="81" ht="23.25" customHeight="1" spans="1:20" x14ac:dyDescent="0.25">
      <c r="A81" s="54"/>
      <c r="B81" s="55"/>
      <c r="C81" s="55"/>
      <c r="D81" s="55"/>
      <c r="E81" s="55"/>
      <c r="F81" s="55"/>
      <c r="G81" s="55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</row>
    <row r="82" ht="23.25" customHeight="1" spans="1:20" x14ac:dyDescent="0.25">
      <c r="A82" s="54"/>
      <c r="B82" s="55"/>
      <c r="C82" s="55"/>
      <c r="D82" s="55"/>
      <c r="E82" s="55"/>
      <c r="F82" s="55"/>
      <c r="G82" s="55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</row>
    <row r="83" ht="23.25" customHeight="1" spans="1:20" x14ac:dyDescent="0.25">
      <c r="A83" s="54"/>
      <c r="B83" s="55"/>
      <c r="C83" s="55"/>
      <c r="D83" s="55"/>
      <c r="E83" s="55"/>
      <c r="F83" s="55"/>
      <c r="G83" s="55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</row>
    <row r="84" ht="23.25" customHeight="1" spans="1:20" x14ac:dyDescent="0.25">
      <c r="A84" s="54"/>
      <c r="B84" s="55"/>
      <c r="C84" s="55"/>
      <c r="D84" s="55"/>
      <c r="E84" s="55"/>
      <c r="F84" s="55"/>
      <c r="G84" s="55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</row>
    <row r="85" ht="23.25" customHeight="1" spans="1:20" x14ac:dyDescent="0.25">
      <c r="A85" s="54"/>
      <c r="B85" s="55"/>
      <c r="C85" s="55"/>
      <c r="D85" s="55"/>
      <c r="E85" s="55"/>
      <c r="F85" s="55"/>
      <c r="G85" s="55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</row>
    <row r="86" ht="23.25" customHeight="1" spans="1:20" x14ac:dyDescent="0.25">
      <c r="A86" s="54"/>
      <c r="B86" s="55"/>
      <c r="C86" s="55"/>
      <c r="D86" s="55"/>
      <c r="E86" s="55"/>
      <c r="F86" s="55"/>
      <c r="G86" s="55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</row>
    <row r="87" ht="23.25" customHeight="1" spans="1:20" x14ac:dyDescent="0.25">
      <c r="A87" s="54"/>
      <c r="B87" s="55"/>
      <c r="C87" s="55"/>
      <c r="D87" s="55"/>
      <c r="E87" s="55"/>
      <c r="F87" s="55"/>
      <c r="G87" s="55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</row>
    <row r="88" ht="23.25" customHeight="1" spans="1:20" x14ac:dyDescent="0.25">
      <c r="A88" s="54"/>
      <c r="B88" s="55"/>
      <c r="C88" s="55"/>
      <c r="D88" s="55"/>
      <c r="E88" s="55"/>
      <c r="F88" s="55"/>
      <c r="G88" s="55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</row>
    <row r="89" ht="23.25" customHeight="1" spans="1:20" x14ac:dyDescent="0.25">
      <c r="A89" s="54"/>
      <c r="B89" s="55"/>
      <c r="C89" s="55"/>
      <c r="D89" s="55"/>
      <c r="E89" s="55"/>
      <c r="F89" s="55"/>
      <c r="G89" s="55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</row>
    <row r="90" ht="23.25" customHeight="1" spans="1:20" x14ac:dyDescent="0.25">
      <c r="A90" s="54"/>
      <c r="B90" s="55"/>
      <c r="C90" s="55"/>
      <c r="D90" s="55"/>
      <c r="E90" s="55"/>
      <c r="F90" s="55"/>
      <c r="G90" s="55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</row>
    <row r="91" ht="23.25" customHeight="1" spans="1:20" x14ac:dyDescent="0.25">
      <c r="A91" s="54"/>
      <c r="B91" s="55"/>
      <c r="C91" s="55"/>
      <c r="D91" s="55"/>
      <c r="E91" s="55"/>
      <c r="F91" s="55"/>
      <c r="G91" s="55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</row>
    <row r="92" ht="23.25" customHeight="1" spans="1:20" x14ac:dyDescent="0.25">
      <c r="A92" s="54"/>
      <c r="B92" s="55"/>
      <c r="C92" s="55"/>
      <c r="D92" s="55"/>
      <c r="E92" s="55"/>
      <c r="F92" s="55"/>
      <c r="G92" s="55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</row>
    <row r="93" ht="23.25" customHeight="1" spans="1:20" x14ac:dyDescent="0.25">
      <c r="A93" s="54"/>
      <c r="B93" s="55"/>
      <c r="C93" s="55"/>
      <c r="D93" s="55"/>
      <c r="E93" s="55"/>
      <c r="F93" s="55"/>
      <c r="G93" s="55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</row>
    <row r="94" ht="23.25" customHeight="1" spans="1:20" x14ac:dyDescent="0.25">
      <c r="A94" s="54"/>
      <c r="B94" s="55"/>
      <c r="C94" s="55"/>
      <c r="D94" s="55"/>
      <c r="E94" s="55"/>
      <c r="F94" s="55"/>
      <c r="G94" s="55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</row>
    <row r="95" ht="23.25" customHeight="1" spans="1:20" x14ac:dyDescent="0.25">
      <c r="A95" s="54"/>
      <c r="B95" s="55"/>
      <c r="C95" s="55"/>
      <c r="D95" s="55"/>
      <c r="E95" s="55"/>
      <c r="F95" s="55"/>
      <c r="G95" s="55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</row>
    <row r="96" ht="23.25" customHeight="1" spans="1:20" x14ac:dyDescent="0.25">
      <c r="A96" s="54"/>
      <c r="B96" s="55"/>
      <c r="C96" s="55"/>
      <c r="D96" s="55"/>
      <c r="E96" s="55"/>
      <c r="F96" s="55"/>
      <c r="G96" s="55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</row>
    <row r="97" ht="23.25" customHeight="1" spans="1:20" x14ac:dyDescent="0.25">
      <c r="A97" s="54"/>
      <c r="B97" s="55"/>
      <c r="C97" s="55"/>
      <c r="D97" s="55"/>
      <c r="E97" s="55"/>
      <c r="F97" s="55"/>
      <c r="G97" s="55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</row>
    <row r="98" ht="23.25" customHeight="1" spans="1:20" x14ac:dyDescent="0.25">
      <c r="A98" s="54"/>
      <c r="B98" s="55"/>
      <c r="C98" s="55"/>
      <c r="D98" s="55"/>
      <c r="E98" s="55"/>
      <c r="F98" s="55"/>
      <c r="G98" s="55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</row>
    <row r="99" ht="23.25" customHeight="1" spans="1:20" x14ac:dyDescent="0.25">
      <c r="A99" s="54"/>
      <c r="B99" s="55"/>
      <c r="C99" s="55"/>
      <c r="D99" s="55"/>
      <c r="E99" s="55"/>
      <c r="F99" s="55"/>
      <c r="G99" s="55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</row>
    <row r="100" ht="23.25" customHeight="1" spans="1:20" x14ac:dyDescent="0.25">
      <c r="A100" s="54"/>
      <c r="B100" s="55"/>
      <c r="C100" s="55"/>
      <c r="D100" s="55"/>
      <c r="E100" s="55"/>
      <c r="F100" s="55"/>
      <c r="G100" s="55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</row>
    <row r="101" ht="23.25" customHeight="1" spans="1:20" x14ac:dyDescent="0.25">
      <c r="A101" s="54"/>
      <c r="B101" s="55"/>
      <c r="C101" s="55"/>
      <c r="D101" s="55"/>
      <c r="E101" s="55"/>
      <c r="F101" s="55"/>
      <c r="G101" s="55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</row>
    <row r="102" ht="23.25" customHeight="1" spans="1:20" x14ac:dyDescent="0.25">
      <c r="A102" s="54"/>
      <c r="B102" s="55"/>
      <c r="C102" s="55"/>
      <c r="D102" s="55"/>
      <c r="E102" s="55"/>
      <c r="F102" s="55"/>
      <c r="G102" s="55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</row>
    <row r="103" ht="23.25" customHeight="1" spans="1:20" x14ac:dyDescent="0.25">
      <c r="A103" s="54"/>
      <c r="B103" s="55"/>
      <c r="C103" s="55"/>
      <c r="D103" s="55"/>
      <c r="E103" s="55"/>
      <c r="F103" s="55"/>
      <c r="G103" s="55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</row>
    <row r="104" ht="23.25" customHeight="1" spans="1:20" x14ac:dyDescent="0.25">
      <c r="A104" s="54"/>
      <c r="B104" s="55"/>
      <c r="C104" s="55"/>
      <c r="D104" s="55"/>
      <c r="E104" s="55"/>
      <c r="F104" s="55"/>
      <c r="G104" s="55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</row>
    <row r="105" ht="23.25" customHeight="1" spans="1:20" x14ac:dyDescent="0.25">
      <c r="A105" s="54"/>
      <c r="B105" s="55"/>
      <c r="C105" s="55"/>
      <c r="D105" s="55"/>
      <c r="E105" s="55"/>
      <c r="F105" s="55"/>
      <c r="G105" s="55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</row>
    <row r="106" ht="23.25" customHeight="1" spans="1:20" x14ac:dyDescent="0.25">
      <c r="A106" s="54"/>
      <c r="B106" s="55"/>
      <c r="C106" s="55"/>
      <c r="D106" s="55"/>
      <c r="E106" s="55"/>
      <c r="F106" s="55"/>
      <c r="G106" s="55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</row>
    <row r="107" ht="23.25" customHeight="1" spans="1:20" x14ac:dyDescent="0.25">
      <c r="A107" s="54"/>
      <c r="B107" s="55"/>
      <c r="C107" s="55"/>
      <c r="D107" s="55"/>
      <c r="E107" s="55"/>
      <c r="F107" s="55"/>
      <c r="G107" s="55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</row>
    <row r="108" ht="23.25" customHeight="1" spans="1:20" x14ac:dyDescent="0.25">
      <c r="A108" s="54"/>
      <c r="B108" s="55"/>
      <c r="C108" s="55"/>
      <c r="D108" s="55"/>
      <c r="E108" s="55"/>
      <c r="F108" s="55"/>
      <c r="G108" s="55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</row>
    <row r="109" ht="23.25" customHeight="1" spans="1:20" x14ac:dyDescent="0.25">
      <c r="A109" s="54"/>
      <c r="B109" s="55"/>
      <c r="C109" s="55"/>
      <c r="D109" s="55"/>
      <c r="E109" s="55"/>
      <c r="F109" s="55"/>
      <c r="G109" s="55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</row>
    <row r="110" ht="23.25" customHeight="1" spans="1:20" x14ac:dyDescent="0.25">
      <c r="A110" s="54"/>
      <c r="B110" s="55"/>
      <c r="C110" s="55"/>
      <c r="D110" s="55"/>
      <c r="E110" s="55"/>
      <c r="F110" s="55"/>
      <c r="G110" s="55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</row>
    <row r="111" ht="23.25" customHeight="1" spans="1:20" x14ac:dyDescent="0.25">
      <c r="A111" s="54"/>
      <c r="B111" s="55"/>
      <c r="C111" s="55"/>
      <c r="D111" s="55"/>
      <c r="E111" s="55"/>
      <c r="F111" s="55"/>
      <c r="G111" s="55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</row>
    <row r="112" ht="23.25" customHeight="1" spans="1:20" x14ac:dyDescent="0.25">
      <c r="A112" s="54"/>
      <c r="B112" s="55"/>
      <c r="C112" s="55"/>
      <c r="D112" s="55"/>
      <c r="E112" s="55"/>
      <c r="F112" s="55"/>
      <c r="G112" s="55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</row>
    <row r="113" ht="23.25" customHeight="1" spans="1:20" x14ac:dyDescent="0.25">
      <c r="A113" s="54"/>
      <c r="B113" s="55"/>
      <c r="C113" s="55"/>
      <c r="D113" s="55"/>
      <c r="E113" s="55"/>
      <c r="F113" s="55"/>
      <c r="G113" s="55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</row>
    <row r="114" ht="23.25" customHeight="1" spans="1:20" x14ac:dyDescent="0.25">
      <c r="A114" s="54"/>
      <c r="B114" s="55"/>
      <c r="C114" s="55"/>
      <c r="D114" s="55"/>
      <c r="E114" s="55"/>
      <c r="F114" s="55"/>
      <c r="G114" s="55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</row>
    <row r="115" ht="23.25" customHeight="1" spans="1:20" x14ac:dyDescent="0.25">
      <c r="A115" s="54"/>
      <c r="B115" s="55"/>
      <c r="C115" s="55"/>
      <c r="D115" s="55"/>
      <c r="E115" s="55"/>
      <c r="F115" s="55"/>
      <c r="G115" s="55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</row>
    <row r="116" ht="23.25" customHeight="1" spans="1:20" x14ac:dyDescent="0.25">
      <c r="A116" s="54"/>
      <c r="B116" s="55"/>
      <c r="C116" s="55"/>
      <c r="D116" s="55"/>
      <c r="E116" s="55"/>
      <c r="F116" s="55"/>
      <c r="G116" s="55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</row>
    <row r="117" ht="23.25" customHeight="1" spans="1:20" x14ac:dyDescent="0.25">
      <c r="A117" s="54"/>
      <c r="B117" s="55"/>
      <c r="C117" s="55"/>
      <c r="D117" s="55"/>
      <c r="E117" s="55"/>
      <c r="F117" s="55"/>
      <c r="G117" s="55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</row>
    <row r="118" ht="23.25" customHeight="1" spans="1:20" x14ac:dyDescent="0.25">
      <c r="A118" s="54"/>
      <c r="B118" s="55"/>
      <c r="C118" s="55"/>
      <c r="D118" s="55"/>
      <c r="E118" s="55"/>
      <c r="F118" s="55"/>
      <c r="G118" s="55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</row>
    <row r="119" ht="23.25" customHeight="1" spans="1:20" x14ac:dyDescent="0.25">
      <c r="A119" s="54"/>
      <c r="B119" s="55"/>
      <c r="C119" s="55"/>
      <c r="D119" s="55"/>
      <c r="E119" s="55"/>
      <c r="F119" s="55"/>
      <c r="G119" s="55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</row>
    <row r="120" ht="23.25" customHeight="1" spans="1:20" x14ac:dyDescent="0.25">
      <c r="A120" s="54"/>
      <c r="B120" s="55"/>
      <c r="C120" s="55"/>
      <c r="D120" s="55"/>
      <c r="E120" s="55"/>
      <c r="F120" s="55"/>
      <c r="G120" s="55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</row>
    <row r="121" ht="23.25" customHeight="1" spans="1:20" x14ac:dyDescent="0.25">
      <c r="A121" s="54"/>
      <c r="B121" s="55"/>
      <c r="C121" s="55"/>
      <c r="D121" s="55"/>
      <c r="E121" s="55"/>
      <c r="F121" s="55"/>
      <c r="G121" s="55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</row>
    <row r="122" ht="23.25" customHeight="1" spans="1:20" x14ac:dyDescent="0.25">
      <c r="A122" s="54"/>
      <c r="B122" s="55"/>
      <c r="C122" s="55"/>
      <c r="D122" s="55"/>
      <c r="E122" s="55"/>
      <c r="F122" s="55"/>
      <c r="G122" s="55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</row>
    <row r="123" ht="23.25" customHeight="1" spans="1:20" x14ac:dyDescent="0.25">
      <c r="A123" s="54"/>
      <c r="B123" s="55"/>
      <c r="C123" s="55"/>
      <c r="D123" s="55"/>
      <c r="E123" s="55"/>
      <c r="F123" s="55"/>
      <c r="G123" s="55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</row>
    <row r="124" ht="23.25" customHeight="1" spans="1:20" x14ac:dyDescent="0.25">
      <c r="A124" s="54"/>
      <c r="B124" s="55"/>
      <c r="C124" s="55"/>
      <c r="D124" s="55"/>
      <c r="E124" s="55"/>
      <c r="F124" s="55"/>
      <c r="G124" s="55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</row>
    <row r="125" ht="23.25" customHeight="1" spans="1:20" x14ac:dyDescent="0.25">
      <c r="A125" s="54"/>
      <c r="B125" s="55"/>
      <c r="C125" s="55"/>
      <c r="D125" s="55"/>
      <c r="E125" s="55"/>
      <c r="F125" s="55"/>
      <c r="G125" s="55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</row>
    <row r="126" ht="23.25" customHeight="1" spans="1:20" x14ac:dyDescent="0.25">
      <c r="A126" s="54"/>
      <c r="B126" s="55"/>
      <c r="C126" s="55"/>
      <c r="D126" s="55"/>
      <c r="E126" s="55"/>
      <c r="F126" s="55"/>
      <c r="G126" s="55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</row>
    <row r="127" ht="23.25" customHeight="1" spans="1:20" x14ac:dyDescent="0.25">
      <c r="A127" s="54"/>
      <c r="B127" s="55"/>
      <c r="C127" s="55"/>
      <c r="D127" s="55"/>
      <c r="E127" s="55"/>
      <c r="F127" s="55"/>
      <c r="G127" s="55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</row>
    <row r="128" ht="23.25" customHeight="1" spans="1:20" x14ac:dyDescent="0.25">
      <c r="A128" s="54"/>
      <c r="B128" s="55"/>
      <c r="C128" s="55"/>
      <c r="D128" s="55"/>
      <c r="E128" s="55"/>
      <c r="F128" s="55"/>
      <c r="G128" s="55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</row>
    <row r="129" ht="23.25" customHeight="1" spans="1:20" x14ac:dyDescent="0.25">
      <c r="A129" s="54"/>
      <c r="B129" s="55"/>
      <c r="C129" s="55"/>
      <c r="D129" s="55"/>
      <c r="E129" s="55"/>
      <c r="F129" s="55"/>
      <c r="G129" s="55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</row>
    <row r="130" ht="23.25" customHeight="1" spans="1:20" x14ac:dyDescent="0.25">
      <c r="A130" s="54"/>
      <c r="B130" s="55"/>
      <c r="C130" s="55"/>
      <c r="D130" s="55"/>
      <c r="E130" s="55"/>
      <c r="F130" s="55"/>
      <c r="G130" s="55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</row>
    <row r="131" ht="23.25" customHeight="1" spans="1:20" x14ac:dyDescent="0.25">
      <c r="A131" s="54"/>
      <c r="B131" s="55"/>
      <c r="C131" s="55"/>
      <c r="D131" s="55"/>
      <c r="E131" s="55"/>
      <c r="F131" s="55"/>
      <c r="G131" s="55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</row>
    <row r="132" ht="23.25" customHeight="1" spans="1:20" x14ac:dyDescent="0.25">
      <c r="A132" s="54"/>
      <c r="B132" s="55"/>
      <c r="C132" s="55"/>
      <c r="D132" s="55"/>
      <c r="E132" s="55"/>
      <c r="F132" s="55"/>
      <c r="G132" s="55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</row>
    <row r="133" ht="23.25" customHeight="1" spans="1:20" x14ac:dyDescent="0.25">
      <c r="A133" s="54"/>
      <c r="B133" s="55"/>
      <c r="C133" s="55"/>
      <c r="D133" s="55"/>
      <c r="E133" s="55"/>
      <c r="F133" s="55"/>
      <c r="G133" s="55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</row>
    <row r="134" ht="23.25" customHeight="1" spans="1:20" x14ac:dyDescent="0.25">
      <c r="A134" s="54"/>
      <c r="B134" s="55"/>
      <c r="C134" s="55"/>
      <c r="D134" s="55"/>
      <c r="E134" s="55"/>
      <c r="F134" s="55"/>
      <c r="G134" s="55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</row>
    <row r="135" ht="23.25" customHeight="1" spans="1:20" x14ac:dyDescent="0.25">
      <c r="A135" s="54"/>
      <c r="B135" s="55"/>
      <c r="C135" s="55"/>
      <c r="D135" s="55"/>
      <c r="E135" s="55"/>
      <c r="F135" s="55"/>
      <c r="G135" s="55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</row>
    <row r="136" ht="23.25" customHeight="1" spans="1:20" x14ac:dyDescent="0.25">
      <c r="A136" s="54"/>
      <c r="B136" s="55"/>
      <c r="C136" s="55"/>
      <c r="D136" s="55"/>
      <c r="E136" s="55"/>
      <c r="F136" s="55"/>
      <c r="G136" s="55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</row>
    <row r="137" ht="23.25" customHeight="1" spans="1:20" x14ac:dyDescent="0.25">
      <c r="A137" s="54"/>
      <c r="B137" s="55"/>
      <c r="C137" s="55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</row>
    <row r="138" ht="23.25" customHeight="1" spans="1:20" x14ac:dyDescent="0.25">
      <c r="A138" s="54"/>
      <c r="B138" s="55"/>
      <c r="C138" s="55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</row>
    <row r="139" ht="23.25" customHeight="1" spans="1:20" x14ac:dyDescent="0.25">
      <c r="A139" s="54"/>
      <c r="B139" s="55"/>
      <c r="C139" s="55"/>
      <c r="D139" s="55"/>
      <c r="E139" s="55"/>
      <c r="F139" s="55"/>
      <c r="G139" s="55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</row>
    <row r="140" ht="23.25" customHeight="1" spans="1:20" x14ac:dyDescent="0.25">
      <c r="A140" s="54"/>
      <c r="B140" s="55"/>
      <c r="C140" s="55"/>
      <c r="D140" s="55"/>
      <c r="E140" s="55"/>
      <c r="F140" s="55"/>
      <c r="G140" s="55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</row>
    <row r="141" ht="23.25" customHeight="1" spans="1:20" x14ac:dyDescent="0.25">
      <c r="A141" s="54"/>
      <c r="B141" s="55"/>
      <c r="C141" s="55"/>
      <c r="D141" s="55"/>
      <c r="E141" s="55"/>
      <c r="F141" s="55"/>
      <c r="G141" s="55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</row>
    <row r="142" ht="23.25" customHeight="1" spans="1:20" x14ac:dyDescent="0.25">
      <c r="A142" s="54"/>
      <c r="B142" s="55"/>
      <c r="C142" s="55"/>
      <c r="D142" s="55"/>
      <c r="E142" s="55"/>
      <c r="F142" s="55"/>
      <c r="G142" s="55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</row>
    <row r="143" ht="23.25" customHeight="1" spans="1:20" x14ac:dyDescent="0.25">
      <c r="A143" s="54"/>
      <c r="B143" s="55"/>
      <c r="C143" s="55"/>
      <c r="D143" s="55"/>
      <c r="E143" s="55"/>
      <c r="F143" s="55"/>
      <c r="G143" s="55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</row>
    <row r="144" ht="23.25" customHeight="1" spans="1:20" x14ac:dyDescent="0.25">
      <c r="A144" s="54"/>
      <c r="B144" s="55"/>
      <c r="C144" s="55"/>
      <c r="D144" s="55"/>
      <c r="E144" s="55"/>
      <c r="F144" s="55"/>
      <c r="G144" s="55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</row>
    <row r="145" ht="23.25" customHeight="1" spans="1:20" x14ac:dyDescent="0.25">
      <c r="A145" s="54"/>
      <c r="B145" s="55"/>
      <c r="C145" s="55"/>
      <c r="D145" s="55"/>
      <c r="E145" s="55"/>
      <c r="F145" s="55"/>
      <c r="G145" s="55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</row>
    <row r="146" ht="23.25" customHeight="1" spans="1:20" x14ac:dyDescent="0.25">
      <c r="A146" s="54"/>
      <c r="B146" s="55"/>
      <c r="C146" s="55"/>
      <c r="D146" s="55"/>
      <c r="E146" s="55"/>
      <c r="F146" s="55"/>
      <c r="G146" s="55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</row>
    <row r="147" ht="23.25" customHeight="1" spans="1:20" x14ac:dyDescent="0.25">
      <c r="A147" s="54"/>
      <c r="B147" s="55"/>
      <c r="C147" s="55"/>
      <c r="D147" s="55"/>
      <c r="E147" s="55"/>
      <c r="F147" s="55"/>
      <c r="G147" s="55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</row>
    <row r="148" ht="23.25" customHeight="1" spans="1:20" x14ac:dyDescent="0.25">
      <c r="A148" s="54"/>
      <c r="B148" s="55"/>
      <c r="C148" s="55"/>
      <c r="D148" s="55"/>
      <c r="E148" s="55"/>
      <c r="F148" s="55"/>
      <c r="G148" s="55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</row>
    <row r="149" ht="23.25" customHeight="1" spans="1:20" x14ac:dyDescent="0.25">
      <c r="A149" s="54"/>
      <c r="B149" s="55"/>
      <c r="C149" s="55"/>
      <c r="D149" s="55"/>
      <c r="E149" s="55"/>
      <c r="F149" s="55"/>
      <c r="G149" s="55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</row>
    <row r="150" ht="23.25" customHeight="1" spans="1:20" x14ac:dyDescent="0.25">
      <c r="A150" s="54"/>
      <c r="B150" s="55"/>
      <c r="C150" s="55"/>
      <c r="D150" s="55"/>
      <c r="E150" s="55"/>
      <c r="F150" s="55"/>
      <c r="G150" s="55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</row>
    <row r="151" ht="23.25" customHeight="1" spans="1:20" x14ac:dyDescent="0.25">
      <c r="A151" s="54"/>
      <c r="B151" s="55"/>
      <c r="C151" s="55"/>
      <c r="D151" s="55"/>
      <c r="E151" s="55"/>
      <c r="F151" s="55"/>
      <c r="G151" s="55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</row>
    <row r="152" ht="23.25" customHeight="1" spans="1:20" x14ac:dyDescent="0.25">
      <c r="A152" s="54"/>
      <c r="B152" s="55"/>
      <c r="C152" s="55"/>
      <c r="D152" s="55"/>
      <c r="E152" s="55"/>
      <c r="F152" s="55"/>
      <c r="G152" s="55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</row>
    <row r="153" ht="23.25" customHeight="1" spans="1:20" x14ac:dyDescent="0.25">
      <c r="A153" s="54"/>
      <c r="B153" s="55"/>
      <c r="C153" s="55"/>
      <c r="D153" s="55"/>
      <c r="E153" s="55"/>
      <c r="F153" s="55"/>
      <c r="G153" s="55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</row>
    <row r="154" ht="23.25" customHeight="1" spans="1:20" x14ac:dyDescent="0.25">
      <c r="A154" s="54"/>
      <c r="B154" s="55"/>
      <c r="C154" s="55"/>
      <c r="D154" s="55"/>
      <c r="E154" s="55"/>
      <c r="F154" s="55"/>
      <c r="G154" s="55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</row>
    <row r="155" ht="23.25" customHeight="1" spans="1:20" x14ac:dyDescent="0.25">
      <c r="A155" s="54"/>
      <c r="B155" s="55"/>
      <c r="C155" s="55"/>
      <c r="D155" s="55"/>
      <c r="E155" s="55"/>
      <c r="F155" s="55"/>
      <c r="G155" s="55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</row>
    <row r="156" ht="23.25" customHeight="1" spans="1:20" x14ac:dyDescent="0.25">
      <c r="A156" s="54"/>
      <c r="B156" s="55"/>
      <c r="C156" s="55"/>
      <c r="D156" s="55"/>
      <c r="E156" s="55"/>
      <c r="F156" s="55"/>
      <c r="G156" s="55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</row>
    <row r="157" ht="23.25" customHeight="1" spans="1:20" x14ac:dyDescent="0.25">
      <c r="A157" s="54"/>
      <c r="B157" s="55"/>
      <c r="C157" s="55"/>
      <c r="D157" s="55"/>
      <c r="E157" s="55"/>
      <c r="F157" s="55"/>
      <c r="G157" s="55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</row>
    <row r="158" ht="23.25" customHeight="1" spans="1:20" x14ac:dyDescent="0.25">
      <c r="A158" s="54"/>
      <c r="B158" s="55"/>
      <c r="C158" s="55"/>
      <c r="D158" s="55"/>
      <c r="E158" s="55"/>
      <c r="F158" s="55"/>
      <c r="G158" s="55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</row>
    <row r="159" ht="23.25" customHeight="1" spans="1:20" x14ac:dyDescent="0.25">
      <c r="A159" s="54"/>
      <c r="B159" s="55"/>
      <c r="C159" s="55"/>
      <c r="D159" s="55"/>
      <c r="E159" s="55"/>
      <c r="F159" s="55"/>
      <c r="G159" s="55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</row>
    <row r="160" ht="23.25" customHeight="1" spans="1:20" x14ac:dyDescent="0.25">
      <c r="A160" s="54"/>
      <c r="B160" s="55"/>
      <c r="C160" s="55"/>
      <c r="D160" s="55"/>
      <c r="E160" s="55"/>
      <c r="F160" s="55"/>
      <c r="G160" s="55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</row>
    <row r="161" ht="23.25" customHeight="1" spans="1:20" x14ac:dyDescent="0.25">
      <c r="A161" s="54"/>
      <c r="B161" s="55"/>
      <c r="C161" s="55"/>
      <c r="D161" s="55"/>
      <c r="E161" s="55"/>
      <c r="F161" s="55"/>
      <c r="G161" s="55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</row>
    <row r="162" ht="23.25" customHeight="1" spans="1:20" x14ac:dyDescent="0.25">
      <c r="A162" s="54"/>
      <c r="B162" s="55"/>
      <c r="C162" s="55"/>
      <c r="D162" s="55"/>
      <c r="E162" s="55"/>
      <c r="F162" s="55"/>
      <c r="G162" s="55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</row>
    <row r="163" ht="23.25" customHeight="1" spans="1:20" x14ac:dyDescent="0.25">
      <c r="A163" s="54"/>
      <c r="B163" s="55"/>
      <c r="C163" s="55"/>
      <c r="D163" s="55"/>
      <c r="E163" s="55"/>
      <c r="F163" s="55"/>
      <c r="G163" s="55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</row>
    <row r="164" ht="23.25" customHeight="1" spans="1:20" x14ac:dyDescent="0.25">
      <c r="A164" s="54"/>
      <c r="B164" s="55"/>
      <c r="C164" s="55"/>
      <c r="D164" s="55"/>
      <c r="E164" s="55"/>
      <c r="F164" s="55"/>
      <c r="G164" s="55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</row>
    <row r="165" ht="23.25" customHeight="1" spans="1:20" x14ac:dyDescent="0.25">
      <c r="A165" s="54"/>
      <c r="B165" s="55"/>
      <c r="C165" s="55"/>
      <c r="D165" s="55"/>
      <c r="E165" s="55"/>
      <c r="F165" s="55"/>
      <c r="G165" s="55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</row>
    <row r="166" ht="23.25" customHeight="1" spans="1:20" x14ac:dyDescent="0.25">
      <c r="A166" s="54"/>
      <c r="B166" s="55"/>
      <c r="C166" s="55"/>
      <c r="D166" s="55"/>
      <c r="E166" s="55"/>
      <c r="F166" s="55"/>
      <c r="G166" s="55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</row>
    <row r="167" ht="23.25" customHeight="1" spans="1:20" x14ac:dyDescent="0.25">
      <c r="A167" s="54"/>
      <c r="B167" s="55"/>
      <c r="C167" s="55"/>
      <c r="D167" s="55"/>
      <c r="E167" s="55"/>
      <c r="F167" s="55"/>
      <c r="G167" s="55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</row>
    <row r="168" ht="23.25" customHeight="1" spans="1:20" x14ac:dyDescent="0.25">
      <c r="A168" s="54"/>
      <c r="B168" s="55"/>
      <c r="C168" s="55"/>
      <c r="D168" s="55"/>
      <c r="E168" s="55"/>
      <c r="F168" s="55"/>
      <c r="G168" s="55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</row>
    <row r="169" ht="23.25" customHeight="1" spans="1:20" x14ac:dyDescent="0.25">
      <c r="A169" s="54"/>
      <c r="B169" s="55"/>
      <c r="C169" s="55"/>
      <c r="D169" s="55"/>
      <c r="E169" s="55"/>
      <c r="F169" s="55"/>
      <c r="G169" s="55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</row>
    <row r="170" ht="23.25" customHeight="1" spans="1:20" x14ac:dyDescent="0.25">
      <c r="A170" s="54"/>
      <c r="B170" s="55"/>
      <c r="C170" s="55"/>
      <c r="D170" s="55"/>
      <c r="E170" s="55"/>
      <c r="F170" s="55"/>
      <c r="G170" s="55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</row>
    <row r="171" ht="23.25" customHeight="1" spans="1:20" x14ac:dyDescent="0.25">
      <c r="A171" s="54"/>
      <c r="B171" s="55"/>
      <c r="C171" s="55"/>
      <c r="D171" s="55"/>
      <c r="E171" s="55"/>
      <c r="F171" s="55"/>
      <c r="G171" s="55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</row>
    <row r="172" ht="23.25" customHeight="1" spans="1:20" x14ac:dyDescent="0.25">
      <c r="A172" s="54"/>
      <c r="B172" s="55"/>
      <c r="C172" s="55"/>
      <c r="D172" s="55"/>
      <c r="E172" s="55"/>
      <c r="F172" s="55"/>
      <c r="G172" s="55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</row>
    <row r="173" ht="23.25" customHeight="1" spans="1:20" x14ac:dyDescent="0.25">
      <c r="A173" s="54"/>
      <c r="B173" s="55"/>
      <c r="C173" s="55"/>
      <c r="D173" s="55"/>
      <c r="E173" s="55"/>
      <c r="F173" s="55"/>
      <c r="G173" s="55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</row>
    <row r="174" ht="23.25" customHeight="1" spans="1:20" x14ac:dyDescent="0.25">
      <c r="A174" s="54"/>
      <c r="B174" s="55"/>
      <c r="C174" s="55"/>
      <c r="D174" s="55"/>
      <c r="E174" s="55"/>
      <c r="F174" s="55"/>
      <c r="G174" s="55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</row>
    <row r="175" ht="23.25" customHeight="1" spans="1:20" x14ac:dyDescent="0.25">
      <c r="A175" s="54"/>
      <c r="B175" s="55"/>
      <c r="C175" s="55"/>
      <c r="D175" s="55"/>
      <c r="E175" s="55"/>
      <c r="F175" s="55"/>
      <c r="G175" s="55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</row>
    <row r="176" ht="23.25" customHeight="1" spans="1:20" x14ac:dyDescent="0.25">
      <c r="A176" s="54"/>
      <c r="B176" s="55"/>
      <c r="C176" s="55"/>
      <c r="D176" s="55"/>
      <c r="E176" s="55"/>
      <c r="F176" s="55"/>
      <c r="G176" s="55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</row>
    <row r="177" ht="23.25" customHeight="1" spans="1:20" x14ac:dyDescent="0.25">
      <c r="A177" s="54"/>
      <c r="B177" s="55"/>
      <c r="C177" s="55"/>
      <c r="D177" s="55"/>
      <c r="E177" s="55"/>
      <c r="F177" s="55"/>
      <c r="G177" s="55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</row>
    <row r="178" ht="23.25" customHeight="1" spans="1:20" x14ac:dyDescent="0.25">
      <c r="A178" s="54"/>
      <c r="B178" s="55"/>
      <c r="C178" s="55"/>
      <c r="D178" s="55"/>
      <c r="E178" s="55"/>
      <c r="F178" s="55"/>
      <c r="G178" s="55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</row>
    <row r="179" ht="23.25" customHeight="1" spans="1:20" x14ac:dyDescent="0.25">
      <c r="A179" s="54"/>
      <c r="B179" s="55"/>
      <c r="C179" s="55"/>
      <c r="D179" s="55"/>
      <c r="E179" s="55"/>
      <c r="F179" s="55"/>
      <c r="G179" s="55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</row>
    <row r="180" ht="23.25" customHeight="1" spans="1:20" x14ac:dyDescent="0.25">
      <c r="A180" s="54"/>
      <c r="B180" s="55"/>
      <c r="C180" s="55"/>
      <c r="D180" s="55"/>
      <c r="E180" s="55"/>
      <c r="F180" s="55"/>
      <c r="G180" s="55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</row>
    <row r="181" ht="23.25" customHeight="1" spans="1:20" x14ac:dyDescent="0.25">
      <c r="A181" s="54"/>
      <c r="B181" s="55"/>
      <c r="C181" s="55"/>
      <c r="D181" s="55"/>
      <c r="E181" s="55"/>
      <c r="F181" s="55"/>
      <c r="G181" s="55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</row>
    <row r="182" ht="23.25" customHeight="1" spans="1:20" x14ac:dyDescent="0.25">
      <c r="A182" s="54"/>
      <c r="B182" s="55"/>
      <c r="C182" s="55"/>
      <c r="D182" s="55"/>
      <c r="E182" s="55"/>
      <c r="F182" s="55"/>
      <c r="G182" s="55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</row>
    <row r="183" ht="23.25" customHeight="1" spans="1:20" x14ac:dyDescent="0.25">
      <c r="A183" s="54"/>
      <c r="B183" s="55"/>
      <c r="C183" s="55"/>
      <c r="D183" s="55"/>
      <c r="E183" s="55"/>
      <c r="F183" s="55"/>
      <c r="G183" s="55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</row>
    <row r="184" ht="23.25" customHeight="1" spans="1:20" x14ac:dyDescent="0.25">
      <c r="A184" s="54"/>
      <c r="B184" s="55"/>
      <c r="C184" s="55"/>
      <c r="D184" s="55"/>
      <c r="E184" s="55"/>
      <c r="F184" s="55"/>
      <c r="G184" s="55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</row>
    <row r="185" ht="23.25" customHeight="1" spans="1:20" x14ac:dyDescent="0.25">
      <c r="A185" s="54"/>
      <c r="B185" s="55"/>
      <c r="C185" s="55"/>
      <c r="D185" s="55"/>
      <c r="E185" s="55"/>
      <c r="F185" s="55"/>
      <c r="G185" s="55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</row>
    <row r="186" ht="23.25" customHeight="1" spans="1:20" x14ac:dyDescent="0.25">
      <c r="A186" s="54"/>
      <c r="B186" s="55"/>
      <c r="C186" s="55"/>
      <c r="D186" s="55"/>
      <c r="E186" s="55"/>
      <c r="F186" s="55"/>
      <c r="G186" s="55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</row>
    <row r="187" ht="23.25" customHeight="1" spans="1:20" x14ac:dyDescent="0.25">
      <c r="A187" s="54"/>
      <c r="B187" s="55"/>
      <c r="C187" s="55"/>
      <c r="D187" s="55"/>
      <c r="E187" s="55"/>
      <c r="F187" s="55"/>
      <c r="G187" s="55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</row>
    <row r="188" ht="23.25" customHeight="1" spans="1:20" x14ac:dyDescent="0.25">
      <c r="A188" s="54"/>
      <c r="B188" s="55"/>
      <c r="C188" s="55"/>
      <c r="D188" s="55"/>
      <c r="E188" s="55"/>
      <c r="F188" s="55"/>
      <c r="G188" s="55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</row>
    <row r="189" ht="23.25" customHeight="1" spans="1:20" x14ac:dyDescent="0.25">
      <c r="A189" s="54"/>
      <c r="B189" s="55"/>
      <c r="C189" s="55"/>
      <c r="D189" s="55"/>
      <c r="E189" s="55"/>
      <c r="F189" s="55"/>
      <c r="G189" s="55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</row>
    <row r="190" ht="23.25" customHeight="1" spans="1:20" x14ac:dyDescent="0.25">
      <c r="A190" s="54"/>
      <c r="B190" s="55"/>
      <c r="C190" s="55"/>
      <c r="D190" s="55"/>
      <c r="E190" s="55"/>
      <c r="F190" s="55"/>
      <c r="G190" s="55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</row>
    <row r="191" ht="23.25" customHeight="1" spans="1:20" x14ac:dyDescent="0.25">
      <c r="A191" s="54"/>
      <c r="B191" s="55"/>
      <c r="C191" s="55"/>
      <c r="D191" s="55"/>
      <c r="E191" s="55"/>
      <c r="F191" s="55"/>
      <c r="G191" s="55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</row>
    <row r="192" ht="23.25" customHeight="1" spans="1:20" x14ac:dyDescent="0.25">
      <c r="A192" s="54"/>
      <c r="B192" s="55"/>
      <c r="C192" s="55"/>
      <c r="D192" s="55"/>
      <c r="E192" s="55"/>
      <c r="F192" s="55"/>
      <c r="G192" s="55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</row>
    <row r="193" ht="23.25" customHeight="1" spans="1:20" x14ac:dyDescent="0.25">
      <c r="A193" s="54"/>
      <c r="B193" s="55"/>
      <c r="C193" s="55"/>
      <c r="D193" s="55"/>
      <c r="E193" s="55"/>
      <c r="F193" s="55"/>
      <c r="G193" s="55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</row>
    <row r="194" ht="23.25" customHeight="1" spans="1:20" x14ac:dyDescent="0.25">
      <c r="A194" s="54"/>
      <c r="B194" s="55"/>
      <c r="C194" s="55"/>
      <c r="D194" s="55"/>
      <c r="E194" s="55"/>
      <c r="F194" s="55"/>
      <c r="G194" s="55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</row>
    <row r="195" ht="23.25" customHeight="1" spans="1:20" x14ac:dyDescent="0.25">
      <c r="A195" s="54"/>
      <c r="B195" s="55"/>
      <c r="C195" s="55"/>
      <c r="D195" s="55"/>
      <c r="E195" s="55"/>
      <c r="F195" s="55"/>
      <c r="G195" s="55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</row>
    <row r="196" ht="23.25" customHeight="1" spans="1:20" x14ac:dyDescent="0.25">
      <c r="A196" s="54"/>
      <c r="B196" s="55"/>
      <c r="C196" s="55"/>
      <c r="D196" s="55"/>
      <c r="E196" s="55"/>
      <c r="F196" s="55"/>
      <c r="G196" s="55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</row>
    <row r="197" ht="23.25" customHeight="1" spans="1:20" x14ac:dyDescent="0.25">
      <c r="A197" s="54"/>
      <c r="B197" s="55"/>
      <c r="C197" s="55"/>
      <c r="D197" s="55"/>
      <c r="E197" s="55"/>
      <c r="F197" s="55"/>
      <c r="G197" s="55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</row>
    <row r="198" ht="23.25" customHeight="1" spans="1:20" x14ac:dyDescent="0.25">
      <c r="A198" s="54"/>
      <c r="B198" s="55"/>
      <c r="C198" s="55"/>
      <c r="D198" s="55"/>
      <c r="E198" s="55"/>
      <c r="F198" s="55"/>
      <c r="G198" s="55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</row>
    <row r="199" ht="23.25" customHeight="1" spans="1:20" x14ac:dyDescent="0.25">
      <c r="A199" s="54"/>
      <c r="B199" s="55"/>
      <c r="C199" s="55"/>
      <c r="D199" s="55"/>
      <c r="E199" s="55"/>
      <c r="F199" s="55"/>
      <c r="G199" s="55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</row>
    <row r="200" ht="23.25" customHeight="1" spans="1:20" x14ac:dyDescent="0.25">
      <c r="A200" s="54"/>
      <c r="B200" s="55"/>
      <c r="C200" s="55"/>
      <c r="D200" s="55"/>
      <c r="E200" s="55"/>
      <c r="F200" s="55"/>
      <c r="G200" s="55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</row>
    <row r="201" ht="23.25" customHeight="1" spans="1:20" x14ac:dyDescent="0.25">
      <c r="A201" s="54"/>
      <c r="B201" s="55"/>
      <c r="C201" s="55"/>
      <c r="D201" s="55"/>
      <c r="E201" s="55"/>
      <c r="F201" s="55"/>
      <c r="G201" s="55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</row>
    <row r="202" ht="23.25" customHeight="1" spans="1:20" x14ac:dyDescent="0.25">
      <c r="A202" s="54"/>
      <c r="B202" s="55"/>
      <c r="C202" s="55"/>
      <c r="D202" s="55"/>
      <c r="E202" s="55"/>
      <c r="F202" s="55"/>
      <c r="G202" s="55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</row>
    <row r="203" ht="23.25" customHeight="1" spans="1:20" x14ac:dyDescent="0.25">
      <c r="A203" s="54"/>
      <c r="B203" s="55"/>
      <c r="C203" s="55"/>
      <c r="D203" s="55"/>
      <c r="E203" s="55"/>
      <c r="F203" s="55"/>
      <c r="G203" s="55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</row>
    <row r="204" ht="23.25" customHeight="1" spans="1:20" x14ac:dyDescent="0.25">
      <c r="A204" s="54"/>
      <c r="B204" s="55"/>
      <c r="C204" s="55"/>
      <c r="D204" s="55"/>
      <c r="E204" s="55"/>
      <c r="F204" s="55"/>
      <c r="G204" s="55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</row>
    <row r="205" ht="23.25" customHeight="1" spans="1:20" x14ac:dyDescent="0.25">
      <c r="A205" s="54"/>
      <c r="B205" s="55"/>
      <c r="C205" s="55"/>
      <c r="D205" s="55"/>
      <c r="E205" s="55"/>
      <c r="F205" s="55"/>
      <c r="G205" s="55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</row>
    <row r="206" ht="23.25" customHeight="1" spans="1:20" x14ac:dyDescent="0.25">
      <c r="A206" s="54"/>
      <c r="B206" s="55"/>
      <c r="C206" s="55"/>
      <c r="D206" s="55"/>
      <c r="E206" s="55"/>
      <c r="F206" s="55"/>
      <c r="G206" s="55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</row>
    <row r="207" ht="23.25" customHeight="1" spans="1:20" x14ac:dyDescent="0.25">
      <c r="A207" s="54"/>
      <c r="B207" s="55"/>
      <c r="C207" s="55"/>
      <c r="D207" s="55"/>
      <c r="E207" s="55"/>
      <c r="F207" s="55"/>
      <c r="G207" s="55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</row>
    <row r="208" ht="23.25" customHeight="1" spans="1:20" x14ac:dyDescent="0.25">
      <c r="A208" s="54"/>
      <c r="B208" s="55"/>
      <c r="C208" s="55"/>
      <c r="D208" s="55"/>
      <c r="E208" s="55"/>
      <c r="F208" s="55"/>
      <c r="G208" s="55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</row>
    <row r="209" ht="23.25" customHeight="1" spans="1:20" x14ac:dyDescent="0.25">
      <c r="A209" s="54"/>
      <c r="B209" s="55"/>
      <c r="C209" s="55"/>
      <c r="D209" s="55"/>
      <c r="E209" s="55"/>
      <c r="F209" s="55"/>
      <c r="G209" s="55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</row>
    <row r="210" ht="23.25" customHeight="1" spans="1:20" x14ac:dyDescent="0.25">
      <c r="A210" s="54"/>
      <c r="B210" s="55"/>
      <c r="C210" s="55"/>
      <c r="D210" s="55"/>
      <c r="E210" s="55"/>
      <c r="F210" s="55"/>
      <c r="G210" s="55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</row>
    <row r="211" ht="23.25" customHeight="1" spans="1:20" x14ac:dyDescent="0.25">
      <c r="A211" s="54"/>
      <c r="B211" s="55"/>
      <c r="C211" s="55"/>
      <c r="D211" s="55"/>
      <c r="E211" s="55"/>
      <c r="F211" s="55"/>
      <c r="G211" s="55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</row>
    <row r="212" ht="23.25" customHeight="1" spans="1:20" x14ac:dyDescent="0.25">
      <c r="A212" s="54"/>
      <c r="B212" s="55"/>
      <c r="C212" s="55"/>
      <c r="D212" s="55"/>
      <c r="E212" s="55"/>
      <c r="F212" s="55"/>
      <c r="G212" s="55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</row>
    <row r="213" ht="23.25" customHeight="1" spans="1:20" x14ac:dyDescent="0.25">
      <c r="A213" s="54"/>
      <c r="B213" s="55"/>
      <c r="C213" s="55"/>
      <c r="D213" s="55"/>
      <c r="E213" s="55"/>
      <c r="F213" s="55"/>
      <c r="G213" s="55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</row>
    <row r="214" ht="23.25" customHeight="1" spans="1:20" x14ac:dyDescent="0.25">
      <c r="A214" s="54"/>
      <c r="B214" s="55"/>
      <c r="C214" s="55"/>
      <c r="D214" s="55"/>
      <c r="E214" s="55"/>
      <c r="F214" s="55"/>
      <c r="G214" s="55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</row>
    <row r="215" ht="23.25" customHeight="1" spans="1:20" x14ac:dyDescent="0.25">
      <c r="A215" s="54"/>
      <c r="B215" s="55"/>
      <c r="C215" s="55"/>
      <c r="D215" s="55"/>
      <c r="E215" s="55"/>
      <c r="F215" s="55"/>
      <c r="G215" s="55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</row>
    <row r="216" ht="23.25" customHeight="1" spans="1:20" x14ac:dyDescent="0.25">
      <c r="A216" s="54"/>
      <c r="B216" s="55"/>
      <c r="C216" s="55"/>
      <c r="D216" s="55"/>
      <c r="E216" s="55"/>
      <c r="F216" s="55"/>
      <c r="G216" s="55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</row>
    <row r="217" ht="23.25" customHeight="1" spans="1:20" x14ac:dyDescent="0.25">
      <c r="A217" s="54"/>
      <c r="B217" s="55"/>
      <c r="C217" s="55"/>
      <c r="D217" s="55"/>
      <c r="E217" s="55"/>
      <c r="F217" s="55"/>
      <c r="G217" s="55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</row>
    <row r="218" ht="23.25" customHeight="1" spans="1:20" x14ac:dyDescent="0.25">
      <c r="A218" s="54"/>
      <c r="B218" s="55"/>
      <c r="C218" s="55"/>
      <c r="D218" s="55"/>
      <c r="E218" s="55"/>
      <c r="F218" s="55"/>
      <c r="G218" s="55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</row>
    <row r="219" ht="23.25" customHeight="1" spans="1:20" x14ac:dyDescent="0.25">
      <c r="A219" s="54"/>
      <c r="B219" s="55"/>
      <c r="C219" s="55"/>
      <c r="D219" s="55"/>
      <c r="E219" s="55"/>
      <c r="F219" s="55"/>
      <c r="G219" s="55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</row>
    <row r="220" ht="23.25" customHeight="1" spans="1:20" x14ac:dyDescent="0.25">
      <c r="A220" s="54"/>
      <c r="B220" s="55"/>
      <c r="C220" s="55"/>
      <c r="D220" s="55"/>
      <c r="E220" s="55"/>
      <c r="F220" s="55"/>
      <c r="G220" s="55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</row>
    <row r="221" ht="23.25" customHeight="1" spans="1:20" x14ac:dyDescent="0.25">
      <c r="A221" s="54"/>
      <c r="B221" s="55"/>
      <c r="C221" s="55"/>
      <c r="D221" s="55"/>
      <c r="E221" s="55"/>
      <c r="F221" s="55"/>
      <c r="G221" s="55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</row>
    <row r="222" ht="23.25" customHeight="1" spans="1:20" x14ac:dyDescent="0.25">
      <c r="A222" s="54"/>
      <c r="B222" s="55"/>
      <c r="C222" s="55"/>
      <c r="D222" s="55"/>
      <c r="E222" s="55"/>
      <c r="F222" s="55"/>
      <c r="G222" s="55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</row>
    <row r="223" ht="23.25" customHeight="1" spans="1:20" x14ac:dyDescent="0.25">
      <c r="A223" s="54"/>
      <c r="B223" s="55"/>
      <c r="C223" s="55"/>
      <c r="D223" s="55"/>
      <c r="E223" s="55"/>
      <c r="F223" s="55"/>
      <c r="G223" s="55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</row>
    <row r="224" ht="23.25" customHeight="1" spans="1:20" x14ac:dyDescent="0.25">
      <c r="A224" s="54"/>
      <c r="B224" s="55"/>
      <c r="C224" s="55"/>
      <c r="D224" s="55"/>
      <c r="E224" s="55"/>
      <c r="F224" s="55"/>
      <c r="G224" s="55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</row>
    <row r="225" ht="23.25" customHeight="1" spans="1:20" x14ac:dyDescent="0.25">
      <c r="A225" s="54"/>
      <c r="B225" s="55"/>
      <c r="C225" s="55"/>
      <c r="D225" s="55"/>
      <c r="E225" s="55"/>
      <c r="F225" s="55"/>
      <c r="G225" s="55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</row>
    <row r="226" ht="23.25" customHeight="1" spans="1:20" x14ac:dyDescent="0.25">
      <c r="A226" s="54"/>
      <c r="B226" s="55"/>
      <c r="C226" s="55"/>
      <c r="D226" s="55"/>
      <c r="E226" s="55"/>
      <c r="F226" s="55"/>
      <c r="G226" s="55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</row>
    <row r="227" ht="23.25" customHeight="1" spans="1:20" x14ac:dyDescent="0.25">
      <c r="A227" s="54"/>
      <c r="B227" s="55"/>
      <c r="C227" s="55"/>
      <c r="D227" s="55"/>
      <c r="E227" s="55"/>
      <c r="F227" s="55"/>
      <c r="G227" s="55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</row>
    <row r="228" ht="23.25" customHeight="1" spans="1:20" x14ac:dyDescent="0.25">
      <c r="A228" s="54"/>
      <c r="B228" s="55"/>
      <c r="C228" s="55"/>
      <c r="D228" s="55"/>
      <c r="E228" s="55"/>
      <c r="F228" s="55"/>
      <c r="G228" s="55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</row>
    <row r="229" ht="23.25" customHeight="1" spans="1:20" x14ac:dyDescent="0.25">
      <c r="A229" s="54"/>
      <c r="B229" s="55"/>
      <c r="C229" s="55"/>
      <c r="D229" s="55"/>
      <c r="E229" s="55"/>
      <c r="F229" s="55"/>
      <c r="G229" s="55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</row>
    <row r="230" ht="23.25" customHeight="1" spans="1:20" x14ac:dyDescent="0.25">
      <c r="A230" s="54"/>
      <c r="B230" s="55"/>
      <c r="C230" s="55"/>
      <c r="D230" s="55"/>
      <c r="E230" s="55"/>
      <c r="F230" s="55"/>
      <c r="G230" s="55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</row>
    <row r="231" ht="23.25" customHeight="1" spans="1:20" x14ac:dyDescent="0.25">
      <c r="A231" s="54"/>
      <c r="B231" s="55"/>
      <c r="C231" s="55"/>
      <c r="D231" s="55"/>
      <c r="E231" s="55"/>
      <c r="F231" s="55"/>
      <c r="G231" s="55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</row>
    <row r="232" ht="23.25" customHeight="1" spans="1:20" x14ac:dyDescent="0.25">
      <c r="A232" s="54"/>
      <c r="B232" s="55"/>
      <c r="C232" s="55"/>
      <c r="D232" s="55"/>
      <c r="E232" s="55"/>
      <c r="F232" s="55"/>
      <c r="G232" s="55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</row>
    <row r="233" ht="23.25" customHeight="1" spans="1:20" x14ac:dyDescent="0.25">
      <c r="A233" s="54"/>
      <c r="B233" s="55"/>
      <c r="C233" s="55"/>
      <c r="D233" s="55"/>
      <c r="E233" s="55"/>
      <c r="F233" s="55"/>
      <c r="G233" s="55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</row>
    <row r="234" ht="23.25" customHeight="1" spans="1:20" x14ac:dyDescent="0.25">
      <c r="A234" s="54"/>
      <c r="B234" s="55"/>
      <c r="C234" s="55"/>
      <c r="D234" s="55"/>
      <c r="E234" s="55"/>
      <c r="F234" s="55"/>
      <c r="G234" s="55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</row>
    <row r="235" ht="23.25" customHeight="1" spans="1:20" x14ac:dyDescent="0.25">
      <c r="A235" s="54"/>
      <c r="B235" s="55"/>
      <c r="C235" s="55"/>
      <c r="D235" s="55"/>
      <c r="E235" s="55"/>
      <c r="F235" s="55"/>
      <c r="G235" s="55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</row>
    <row r="236" ht="23.25" customHeight="1" spans="1:20" x14ac:dyDescent="0.25">
      <c r="A236" s="54"/>
      <c r="B236" s="55"/>
      <c r="C236" s="55"/>
      <c r="D236" s="55"/>
      <c r="E236" s="55"/>
      <c r="F236" s="55"/>
      <c r="G236" s="55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</row>
    <row r="237" ht="23.25" customHeight="1" spans="1:20" x14ac:dyDescent="0.25">
      <c r="A237" s="54"/>
      <c r="B237" s="55"/>
      <c r="C237" s="55"/>
      <c r="D237" s="55"/>
      <c r="E237" s="55"/>
      <c r="F237" s="55"/>
      <c r="G237" s="55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</row>
    <row r="238" ht="23.25" customHeight="1" spans="1:20" x14ac:dyDescent="0.25">
      <c r="A238" s="54"/>
      <c r="B238" s="55"/>
      <c r="C238" s="55"/>
      <c r="D238" s="55"/>
      <c r="E238" s="55"/>
      <c r="F238" s="55"/>
      <c r="G238" s="55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</row>
    <row r="239" ht="23.25" customHeight="1" spans="1:20" x14ac:dyDescent="0.25">
      <c r="A239" s="54"/>
      <c r="B239" s="55"/>
      <c r="C239" s="55"/>
      <c r="D239" s="55"/>
      <c r="E239" s="55"/>
      <c r="F239" s="55"/>
      <c r="G239" s="55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</row>
    <row r="240" ht="23.25" customHeight="1" spans="1:20" x14ac:dyDescent="0.25">
      <c r="A240" s="54"/>
      <c r="B240" s="55"/>
      <c r="C240" s="55"/>
      <c r="D240" s="55"/>
      <c r="E240" s="55"/>
      <c r="F240" s="55"/>
      <c r="G240" s="55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</row>
    <row r="241" ht="23.25" customHeight="1" spans="1:20" x14ac:dyDescent="0.25">
      <c r="A241" s="54"/>
      <c r="B241" s="55"/>
      <c r="C241" s="55"/>
      <c r="D241" s="55"/>
      <c r="E241" s="55"/>
      <c r="F241" s="55"/>
      <c r="G241" s="55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</row>
    <row r="242" ht="23.25" customHeight="1" spans="1:20" x14ac:dyDescent="0.25">
      <c r="A242" s="54"/>
      <c r="B242" s="55"/>
      <c r="C242" s="55"/>
      <c r="D242" s="55"/>
      <c r="E242" s="55"/>
      <c r="F242" s="55"/>
      <c r="G242" s="55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</row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autoFilter ref="A1:K4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3"/>
  <sheetViews>
    <sheetView workbookViewId="0" zoomScale="100" zoomScaleNormal="100">
      <pane xSplit="2" topLeftCell="C1" activePane="topRight" state="frozen"/>
      <selection pane="topRight" activeCell="J10" sqref="J10"/>
    </sheetView>
  </sheetViews>
  <sheetFormatPr defaultRowHeight="15" outlineLevelRow="0" outlineLevelCol="0" x14ac:dyDescent="0.2" defaultColWidth="14.5"/>
  <cols>
    <col min="1" max="1" width="12" customWidth="1"/>
    <col min="2" max="2" width="35.33203125" customWidth="1"/>
    <col min="3" max="3" width="7.83203125" customWidth="1"/>
    <col min="4" max="4" width="21.6640625" customWidth="1"/>
    <col min="5" max="5" width="13.6640625" customWidth="1"/>
    <col min="6" max="6" width="25" customWidth="1"/>
    <col min="7" max="8" width="15.5" customWidth="1"/>
    <col min="9" max="9" width="27.33203125" customWidth="1"/>
    <col min="10" max="10" width="40.83203125" customWidth="1"/>
    <col min="11" max="11" width="14.33203125" customWidth="1"/>
    <col min="12" max="12" width="28.83203125" customWidth="1"/>
    <col min="13" max="13" width="21.83203125" customWidth="1"/>
    <col min="14" max="14" width="32.5" customWidth="1"/>
    <col min="15" max="15" width="31.6640625" customWidth="1"/>
    <col min="16" max="25" width="11.33203125" customWidth="1"/>
  </cols>
  <sheetData>
    <row r="1" ht="23.25" customHeight="1" spans="1:25" x14ac:dyDescent="0.25">
      <c r="A1" s="56" t="s">
        <v>11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ht="21.75" customHeight="1" spans="1:25" x14ac:dyDescent="0.25">
      <c r="A2" s="59" t="s">
        <v>12</v>
      </c>
      <c r="B2" s="60"/>
      <c r="C2" s="60"/>
      <c r="D2" s="61"/>
      <c r="E2" s="62" t="s">
        <v>13</v>
      </c>
      <c r="F2" s="60"/>
      <c r="G2" s="60"/>
      <c r="H2" s="60"/>
      <c r="I2" s="60"/>
      <c r="J2" s="60"/>
      <c r="K2" s="60"/>
      <c r="L2" s="60"/>
      <c r="M2" s="60"/>
      <c r="N2" s="60"/>
      <c r="O2" s="61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ht="21.75" customHeight="1" spans="1:25" x14ac:dyDescent="0.25">
      <c r="A3" s="63" t="s">
        <v>14</v>
      </c>
      <c r="B3" s="64"/>
      <c r="C3" s="64"/>
      <c r="D3" s="65"/>
      <c r="E3" s="66" t="s">
        <v>15</v>
      </c>
      <c r="F3" s="67"/>
      <c r="G3" s="67"/>
      <c r="H3" s="67"/>
      <c r="I3" s="67"/>
      <c r="J3" s="67"/>
      <c r="K3" s="67"/>
      <c r="L3" s="67"/>
      <c r="M3" s="67"/>
      <c r="N3" s="67"/>
      <c r="O3" s="6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ht="21.75" customHeight="1" spans="1:25" x14ac:dyDescent="0.25">
      <c r="A4" s="59" t="s">
        <v>16</v>
      </c>
      <c r="B4" s="60"/>
      <c r="C4" s="60"/>
      <c r="D4" s="61"/>
      <c r="E4" s="69" t="s">
        <v>17</v>
      </c>
      <c r="F4" s="70"/>
      <c r="G4" s="70"/>
      <c r="H4" s="70"/>
      <c r="I4" s="70"/>
      <c r="J4" s="70"/>
      <c r="K4" s="70"/>
      <c r="L4" s="70"/>
      <c r="M4" s="70"/>
      <c r="N4" s="70"/>
      <c r="O4" s="71"/>
      <c r="P4" s="58"/>
      <c r="Q4" s="58"/>
      <c r="R4" s="58"/>
      <c r="S4" s="58"/>
      <c r="T4" s="58"/>
      <c r="U4" s="58"/>
      <c r="V4" s="58"/>
      <c r="W4" s="58"/>
      <c r="X4" s="58"/>
      <c r="Y4" s="58"/>
    </row>
    <row r="5" ht="9.75" customHeight="1" spans="1:25" x14ac:dyDescent="0.25">
      <c r="A5" s="72"/>
      <c r="B5" s="58"/>
      <c r="C5" s="72"/>
      <c r="D5" s="58"/>
      <c r="E5" s="58"/>
      <c r="F5" s="58"/>
      <c r="G5" s="73"/>
      <c r="H5" s="73"/>
      <c r="I5" s="58"/>
      <c r="J5" s="74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</row>
    <row r="6" ht="40" customHeight="1" spans="1:25" x14ac:dyDescent="0.25">
      <c r="A6" s="75" t="s">
        <v>18</v>
      </c>
      <c r="B6" s="76" t="s">
        <v>0</v>
      </c>
      <c r="C6" s="75" t="s">
        <v>1</v>
      </c>
      <c r="D6" s="75" t="s">
        <v>2</v>
      </c>
      <c r="E6" s="75" t="s">
        <v>3</v>
      </c>
      <c r="F6" s="75" t="s">
        <v>4</v>
      </c>
      <c r="G6" s="77" t="s">
        <v>19</v>
      </c>
      <c r="H6" s="77" t="s">
        <v>20</v>
      </c>
      <c r="I6" s="75" t="s">
        <v>5</v>
      </c>
      <c r="J6" s="78" t="s">
        <v>21</v>
      </c>
      <c r="K6" s="75" t="s">
        <v>6</v>
      </c>
      <c r="L6" s="75" t="s">
        <v>7</v>
      </c>
      <c r="M6" s="75" t="s">
        <v>8</v>
      </c>
      <c r="N6" s="75" t="s">
        <v>9</v>
      </c>
      <c r="O6" s="75" t="s">
        <v>10</v>
      </c>
      <c r="P6" s="58"/>
      <c r="Q6" s="58"/>
      <c r="R6" s="58"/>
      <c r="S6" s="58"/>
      <c r="T6" s="58"/>
      <c r="U6" s="58"/>
      <c r="V6" s="58"/>
      <c r="W6" s="58"/>
      <c r="X6" s="58"/>
      <c r="Y6" s="58"/>
    </row>
    <row r="7" ht="25" customHeight="1" spans="1:25" x14ac:dyDescent="0.25">
      <c r="A7" s="79"/>
      <c r="B7" s="80"/>
      <c r="C7" s="79" t="e">
        <f>VLOOKUP(B7,Índice!$A$2:$K$804,2,0)</f>
        <v>#N/A</v>
      </c>
      <c r="D7" s="81">
        <f>VLOOKUP(B7,Índice!$A$2:$K$804,3,0)</f>
        <v>NaN</v>
      </c>
      <c r="E7" s="79" t="e">
        <f>VLOOKUP(B7,Índice!$A$2:$K$804,4,0)</f>
        <v>#N/A</v>
      </c>
      <c r="F7" s="79" t="e">
        <f>VLOOKUP(B7,Índice!$A$2:$K$804,5,0)</f>
        <v>#N/A</v>
      </c>
      <c r="G7" s="82"/>
      <c r="H7" s="83"/>
      <c r="I7" s="79" t="e">
        <f>VLOOKUP(B7,Índice!$A$2:$K$804,6,0)</f>
        <v>#N/A</v>
      </c>
      <c r="J7" s="84"/>
      <c r="K7" s="85" t="e">
        <f>VLOOKUP(B7,Índice!$A$2:$K$804,7,0)</f>
        <v>#N/A</v>
      </c>
      <c r="L7" s="79" t="e">
        <f>VLOOKUP(B7,Índice!$A$2:$K$804,8,0)</f>
        <v>#N/A</v>
      </c>
      <c r="M7" s="79" t="e">
        <f>VLOOKUP(B7,Índice!$A$2:$K$804,9,0)</f>
        <v>#N/A</v>
      </c>
      <c r="N7" s="86" t="e">
        <f>VLOOKUP(B7,Índice!$A$2:$K$804,10,0)</f>
        <v>#N/A</v>
      </c>
      <c r="O7" s="79" t="e">
        <f>VLOOKUP(B7,Índice!$A$2:$K$804,11,0)</f>
        <v>#N/A</v>
      </c>
      <c r="P7" s="87"/>
      <c r="Q7" s="87"/>
      <c r="R7" s="87"/>
      <c r="S7" s="87"/>
      <c r="T7" s="87"/>
      <c r="U7" s="87"/>
      <c r="V7" s="87"/>
      <c r="W7" s="87"/>
      <c r="X7" s="87"/>
      <c r="Y7" s="87"/>
    </row>
    <row r="8" ht="25" customHeight="1" spans="1:25" x14ac:dyDescent="0.25">
      <c r="A8" s="79"/>
      <c r="B8" s="88"/>
      <c r="C8" s="79" t="e">
        <f>VLOOKUP(B8,Índice!$A$2:$K$804,2,0)</f>
        <v>#N/A</v>
      </c>
      <c r="D8" s="81">
        <f>VLOOKUP(B8,Índice!$A$2:$K$804,3,0)</f>
        <v>NaN</v>
      </c>
      <c r="E8" s="79" t="e">
        <f>VLOOKUP(B8,Índice!$A$2:$K$804,4,0)</f>
        <v>#N/A</v>
      </c>
      <c r="F8" s="79" t="e">
        <f>VLOOKUP(B8,Índice!$A$2:$K$804,5,0)</f>
        <v>#N/A</v>
      </c>
      <c r="G8" s="82"/>
      <c r="H8" s="83"/>
      <c r="I8" s="79" t="e">
        <f>VLOOKUP(B8,Índice!$A$2:$K$804,6,0)</f>
        <v>#N/A</v>
      </c>
      <c r="J8" s="84"/>
      <c r="K8" s="85" t="e">
        <f>VLOOKUP(B8,Índice!$A$2:$K$804,7,0)</f>
        <v>#N/A</v>
      </c>
      <c r="L8" s="79" t="e">
        <f>VLOOKUP(B8,Índice!$A$2:$K$804,8,0)</f>
        <v>#N/A</v>
      </c>
      <c r="M8" s="79" t="e">
        <f>VLOOKUP(B8,Índice!$A$2:$K$804,9,0)</f>
        <v>#N/A</v>
      </c>
      <c r="N8" s="79" t="e">
        <f>VLOOKUP(B8,Índice!$A$2:$K$804,10,0)</f>
        <v>#N/A</v>
      </c>
      <c r="O8" s="79" t="e">
        <f>VLOOKUP(B8,Índice!$A$2:$K$804,11,0)</f>
        <v>#N/A</v>
      </c>
      <c r="P8" s="87"/>
      <c r="Q8" s="87"/>
      <c r="R8" s="87"/>
      <c r="S8" s="87"/>
      <c r="T8" s="87"/>
      <c r="U8" s="87"/>
      <c r="V8" s="87"/>
      <c r="W8" s="87"/>
      <c r="X8" s="87"/>
      <c r="Y8" s="87"/>
    </row>
    <row r="9" ht="25" customHeight="1" spans="1:25" x14ac:dyDescent="0.25">
      <c r="A9" s="79"/>
      <c r="B9" s="80"/>
      <c r="C9" s="79" t="e">
        <f>VLOOKUP(B9,Índice!$A$2:$K$804,2,0)</f>
        <v>#N/A</v>
      </c>
      <c r="D9" s="81">
        <f>VLOOKUP(B9,Índice!$A$2:$K$804,3,0)</f>
        <v>NaN</v>
      </c>
      <c r="E9" s="79" t="e">
        <f>VLOOKUP(B9,Índice!$A$2:$K$804,4,0)</f>
        <v>#N/A</v>
      </c>
      <c r="F9" s="79" t="e">
        <f>VLOOKUP(B9,Índice!$A$2:$K$804,5,0)</f>
        <v>#N/A</v>
      </c>
      <c r="G9" s="82"/>
      <c r="H9" s="83"/>
      <c r="I9" s="79" t="e">
        <f>VLOOKUP(B9,Índice!$A$2:$K$804,6,0)</f>
        <v>#N/A</v>
      </c>
      <c r="J9" s="84"/>
      <c r="K9" s="85" t="e">
        <f>VLOOKUP(B9,Índice!$A$2:$K$804,7,0)</f>
        <v>#N/A</v>
      </c>
      <c r="L9" s="79" t="e">
        <f>VLOOKUP(B9,Índice!$A$2:$K$804,8,0)</f>
        <v>#N/A</v>
      </c>
      <c r="M9" s="79" t="e">
        <f>VLOOKUP(B9,Índice!$A$2:$K$804,9,0)</f>
        <v>#N/A</v>
      </c>
      <c r="N9" s="79" t="e">
        <f>VLOOKUP(B9,Índice!$A$2:$K$804,10,0)</f>
        <v>#N/A</v>
      </c>
      <c r="O9" s="79" t="e">
        <f>VLOOKUP(B9,Índice!$A$2:$K$804,11,0)</f>
        <v>#N/A</v>
      </c>
      <c r="P9" s="87"/>
      <c r="Q9" s="87"/>
      <c r="R9" s="87"/>
      <c r="S9" s="87"/>
      <c r="T9" s="87"/>
      <c r="U9" s="87"/>
      <c r="V9" s="87"/>
      <c r="W9" s="87"/>
      <c r="X9" s="87"/>
      <c r="Y9" s="87"/>
    </row>
    <row r="10" ht="25" customHeight="1" spans="1:25" x14ac:dyDescent="0.25">
      <c r="A10" s="79"/>
      <c r="B10" s="80"/>
      <c r="C10" s="79" t="e">
        <f>VLOOKUP(B10,Índice!$A$2:$K$804,2,0)</f>
        <v>#N/A</v>
      </c>
      <c r="D10" s="81">
        <f>VLOOKUP(B10,Índice!$A$2:$K$804,3,0)</f>
        <v>NaN</v>
      </c>
      <c r="E10" s="79" t="e">
        <f>VLOOKUP(B10,Índice!$A$2:$K$804,4,0)</f>
        <v>#N/A</v>
      </c>
      <c r="F10" s="79" t="e">
        <f>VLOOKUP(B10,Índice!$A$2:$K$804,5,0)</f>
        <v>#N/A</v>
      </c>
      <c r="G10" s="82"/>
      <c r="H10" s="83"/>
      <c r="I10" s="79" t="e">
        <f>VLOOKUP(B10,Índice!$A$2:$K$804,6,0)</f>
        <v>#N/A</v>
      </c>
      <c r="J10" s="84"/>
      <c r="K10" s="85" t="e">
        <f>VLOOKUP(B10,Índice!$A$2:$K$804,7,0)</f>
        <v>#N/A</v>
      </c>
      <c r="L10" s="79" t="e">
        <f>VLOOKUP(B10,Índice!$A$2:$K$804,8,0)</f>
        <v>#N/A</v>
      </c>
      <c r="M10" s="79" t="e">
        <f>VLOOKUP(B10,Índice!$A$2:$K$804,9,0)</f>
        <v>#N/A</v>
      </c>
      <c r="N10" s="79" t="e">
        <f>VLOOKUP(B10,Índice!$A$2:$K$804,10,0)</f>
        <v>#N/A</v>
      </c>
      <c r="O10" s="79" t="e">
        <f>VLOOKUP(B10,Índice!$A$2:$K$804,11,0)</f>
        <v>#N/A</v>
      </c>
      <c r="P10" s="87"/>
      <c r="Q10" s="87"/>
      <c r="R10" s="87"/>
      <c r="S10" s="87"/>
      <c r="T10" s="87"/>
      <c r="U10" s="87"/>
      <c r="V10" s="87"/>
      <c r="W10" s="87"/>
      <c r="X10" s="87"/>
      <c r="Y10" s="87"/>
    </row>
    <row r="11" ht="25" customHeight="1" spans="1:25" x14ac:dyDescent="0.25">
      <c r="A11" s="79"/>
      <c r="B11" s="80"/>
      <c r="C11" s="79" t="e">
        <f>VLOOKUP(B11,Índice!$A$2:$K$804,2,0)</f>
        <v>#N/A</v>
      </c>
      <c r="D11" s="81">
        <f>VLOOKUP(B11,Índice!$A$2:$K$804,3,0)</f>
        <v>NaN</v>
      </c>
      <c r="E11" s="79" t="e">
        <f>VLOOKUP(B11,Índice!$A$2:$K$804,4,0)</f>
        <v>#N/A</v>
      </c>
      <c r="F11" s="79" t="e">
        <f>VLOOKUP(B11,Índice!$A$2:$K$804,5,0)</f>
        <v>#N/A</v>
      </c>
      <c r="G11" s="82"/>
      <c r="H11" s="83"/>
      <c r="I11" s="79" t="e">
        <f>VLOOKUP(B11,Índice!$A$2:$K$804,6,0)</f>
        <v>#N/A</v>
      </c>
      <c r="J11" s="84"/>
      <c r="K11" s="85" t="e">
        <f>VLOOKUP(B11,Índice!$A$2:$K$804,7,0)</f>
        <v>#N/A</v>
      </c>
      <c r="L11" s="79" t="e">
        <f>VLOOKUP(B11,Índice!$A$2:$K$804,8,0)</f>
        <v>#N/A</v>
      </c>
      <c r="M11" s="79" t="e">
        <f>VLOOKUP(B11,Índice!$A$2:$K$804,9,0)</f>
        <v>#N/A</v>
      </c>
      <c r="N11" s="79" t="e">
        <f>VLOOKUP(B11,Índice!$A$2:$K$804,10,0)</f>
        <v>#N/A</v>
      </c>
      <c r="O11" s="79" t="e">
        <f>VLOOKUP(B11,Índice!$A$2:$K$804,11,0)</f>
        <v>#N/A</v>
      </c>
      <c r="P11" s="87"/>
      <c r="Q11" s="87"/>
      <c r="R11" s="87"/>
      <c r="S11" s="87"/>
      <c r="T11" s="87"/>
      <c r="U11" s="87"/>
      <c r="V11" s="87"/>
      <c r="W11" s="87"/>
      <c r="X11" s="87"/>
      <c r="Y11" s="87"/>
    </row>
    <row r="12" ht="25" customHeight="1" spans="1:25" x14ac:dyDescent="0.25">
      <c r="A12" s="79"/>
      <c r="B12" s="80"/>
      <c r="C12" s="79" t="e">
        <f>VLOOKUP(B12,Índice!$A$2:$K$804,2,0)</f>
        <v>#N/A</v>
      </c>
      <c r="D12" s="81">
        <f>VLOOKUP(B12,Índice!$A$2:$K$804,3,0)</f>
        <v>NaN</v>
      </c>
      <c r="E12" s="79" t="e">
        <f>VLOOKUP(B12,Índice!$A$2:$K$804,4,0)</f>
        <v>#N/A</v>
      </c>
      <c r="F12" s="79" t="e">
        <f>VLOOKUP(B12,Índice!$A$2:$K$804,5,0)</f>
        <v>#N/A</v>
      </c>
      <c r="G12" s="82"/>
      <c r="H12" s="83"/>
      <c r="I12" s="79" t="e">
        <f>VLOOKUP(B12,Índice!$A$2:$K$804,6,0)</f>
        <v>#N/A</v>
      </c>
      <c r="J12" s="84"/>
      <c r="K12" s="85" t="e">
        <f>VLOOKUP(B12,Índice!$A$2:$K$804,7,0)</f>
        <v>#N/A</v>
      </c>
      <c r="L12" s="79" t="e">
        <f>VLOOKUP(B12,Índice!$A$2:$K$804,8,0)</f>
        <v>#N/A</v>
      </c>
      <c r="M12" s="79" t="e">
        <f>VLOOKUP(B12,Índice!$A$2:$K$804,9,0)</f>
        <v>#N/A</v>
      </c>
      <c r="N12" s="79" t="e">
        <f>VLOOKUP(B12,Índice!$A$2:$K$804,10,0)</f>
        <v>#N/A</v>
      </c>
      <c r="O12" s="79" t="e">
        <f>VLOOKUP(B12,Índice!$A$2:$K$804,11,0)</f>
        <v>#N/A</v>
      </c>
      <c r="P12" s="87"/>
      <c r="Q12" s="87"/>
      <c r="R12" s="87"/>
      <c r="S12" s="87"/>
      <c r="T12" s="87"/>
      <c r="U12" s="87"/>
      <c r="V12" s="87"/>
      <c r="W12" s="87"/>
      <c r="X12" s="87"/>
      <c r="Y12" s="87"/>
    </row>
    <row r="13" ht="25" customHeight="1" spans="1:25" x14ac:dyDescent="0.25">
      <c r="A13" s="79"/>
      <c r="B13" s="80"/>
      <c r="C13" s="79" t="e">
        <f>VLOOKUP(B13,Índice!$A$2:$K$804,2,0)</f>
        <v>#N/A</v>
      </c>
      <c r="D13" s="81">
        <f>VLOOKUP(B13,Índice!$A$2:$K$804,3,0)</f>
        <v>NaN</v>
      </c>
      <c r="E13" s="79" t="e">
        <f>VLOOKUP(B13,Índice!$A$2:$K$804,4,0)</f>
        <v>#N/A</v>
      </c>
      <c r="F13" s="79" t="e">
        <f>VLOOKUP(B13,Índice!$A$2:$K$804,5,0)</f>
        <v>#N/A</v>
      </c>
      <c r="G13" s="82"/>
      <c r="H13" s="83"/>
      <c r="I13" s="79" t="e">
        <f>VLOOKUP(B13,Índice!$A$2:$K$804,6,0)</f>
        <v>#N/A</v>
      </c>
      <c r="J13" s="84"/>
      <c r="K13" s="85" t="e">
        <f>VLOOKUP(B13,Índice!$A$2:$K$804,7,0)</f>
        <v>#N/A</v>
      </c>
      <c r="L13" s="79" t="e">
        <f>VLOOKUP(B13,Índice!$A$2:$K$804,8,0)</f>
        <v>#N/A</v>
      </c>
      <c r="M13" s="79" t="e">
        <f>VLOOKUP(B13,Índice!$A$2:$K$804,9,0)</f>
        <v>#N/A</v>
      </c>
      <c r="N13" s="79" t="e">
        <f>VLOOKUP(B13,Índice!$A$2:$K$804,10,0)</f>
        <v>#N/A</v>
      </c>
      <c r="O13" s="79" t="e">
        <f>VLOOKUP(B13,Índice!$A$2:$K$804,11,0)</f>
        <v>#N/A</v>
      </c>
      <c r="P13" s="87"/>
      <c r="Q13" s="87"/>
      <c r="R13" s="87"/>
      <c r="S13" s="87"/>
      <c r="T13" s="87"/>
      <c r="U13" s="87"/>
      <c r="V13" s="87"/>
      <c r="W13" s="87"/>
      <c r="X13" s="87"/>
      <c r="Y13" s="87"/>
    </row>
    <row r="14" ht="25" customHeight="1" spans="1:25" x14ac:dyDescent="0.25">
      <c r="A14" s="79"/>
      <c r="B14" s="80"/>
      <c r="C14" s="79" t="e">
        <f>VLOOKUP(B14,Índice!$A$2:$K$804,2,0)</f>
        <v>#N/A</v>
      </c>
      <c r="D14" s="81">
        <f>VLOOKUP(B14,Índice!$A$2:$K$804,3,0)</f>
        <v>NaN</v>
      </c>
      <c r="E14" s="79" t="e">
        <f>VLOOKUP(B14,Índice!$A$2:$K$804,4,0)</f>
        <v>#N/A</v>
      </c>
      <c r="F14" s="79" t="e">
        <f>VLOOKUP(B14,Índice!$A$2:$K$804,5,0)</f>
        <v>#N/A</v>
      </c>
      <c r="G14" s="82"/>
      <c r="H14" s="83"/>
      <c r="I14" s="79" t="e">
        <f>VLOOKUP(B14,Índice!$A$2:$K$804,6,0)</f>
        <v>#N/A</v>
      </c>
      <c r="J14" s="84"/>
      <c r="K14" s="85" t="e">
        <f>VLOOKUP(B14,Índice!$A$2:$K$804,7,0)</f>
        <v>#N/A</v>
      </c>
      <c r="L14" s="79" t="e">
        <f>VLOOKUP(B14,Índice!$A$2:$K$804,8,0)</f>
        <v>#N/A</v>
      </c>
      <c r="M14" s="79" t="e">
        <f>VLOOKUP(B14,Índice!$A$2:$K$804,9,0)</f>
        <v>#N/A</v>
      </c>
      <c r="N14" s="79" t="e">
        <f>VLOOKUP(B14,Índice!$A$2:$K$804,10,0)</f>
        <v>#N/A</v>
      </c>
      <c r="O14" s="79" t="e">
        <f>VLOOKUP(B14,Índice!$A$2:$K$804,11,0)</f>
        <v>#N/A</v>
      </c>
      <c r="P14" s="87"/>
      <c r="Q14" s="87"/>
      <c r="R14" s="87"/>
      <c r="S14" s="87"/>
      <c r="T14" s="87"/>
      <c r="U14" s="87"/>
      <c r="V14" s="87"/>
      <c r="W14" s="87"/>
      <c r="X14" s="87"/>
      <c r="Y14" s="87"/>
    </row>
    <row r="15" ht="25" customHeight="1" spans="1:25" x14ac:dyDescent="0.25">
      <c r="A15" s="79"/>
      <c r="B15" s="80"/>
      <c r="C15" s="79" t="e">
        <f>VLOOKUP(B15,Índice!$A$2:$K$804,2,0)</f>
        <v>#N/A</v>
      </c>
      <c r="D15" s="81">
        <f>VLOOKUP(B15,Índice!$A$2:$K$804,3,0)</f>
        <v>NaN</v>
      </c>
      <c r="E15" s="79" t="e">
        <f>VLOOKUP(B15,Índice!$A$2:$K$804,4,0)</f>
        <v>#N/A</v>
      </c>
      <c r="F15" s="79" t="e">
        <f>VLOOKUP(B15,Índice!$A$2:$K$804,5,0)</f>
        <v>#N/A</v>
      </c>
      <c r="G15" s="82"/>
      <c r="H15" s="83"/>
      <c r="I15" s="79" t="e">
        <f>VLOOKUP(B15,Índice!$A$2:$F$804,6,0)</f>
        <v>#N/A</v>
      </c>
      <c r="J15" s="84"/>
      <c r="K15" s="85" t="e">
        <f>VLOOKUP(B15,Índice!$A$2:$K$804,7,0)</f>
        <v>#N/A</v>
      </c>
      <c r="L15" s="79" t="e">
        <f>VLOOKUP(B15,Índice!$A$2:$K$804,8,0)</f>
        <v>#N/A</v>
      </c>
      <c r="M15" s="79" t="e">
        <f>VLOOKUP(B15,Índice!$A$2:$K$804,9,0)</f>
        <v>#N/A</v>
      </c>
      <c r="N15" s="79" t="e">
        <f>VLOOKUP(B15,Índice!$A$2:$K$804,10,0)</f>
        <v>#N/A</v>
      </c>
      <c r="O15" s="79" t="e">
        <f>VLOOKUP(B15,Índice!$A$2:$K$804,11,0)</f>
        <v>#N/A</v>
      </c>
      <c r="P15" s="87"/>
      <c r="Q15" s="87"/>
      <c r="R15" s="87"/>
      <c r="S15" s="87"/>
      <c r="T15" s="87"/>
      <c r="U15" s="87"/>
      <c r="V15" s="87"/>
      <c r="W15" s="87"/>
      <c r="X15" s="87"/>
      <c r="Y15" s="87"/>
    </row>
    <row r="16" ht="25" customHeight="1" spans="1:25" x14ac:dyDescent="0.25">
      <c r="A16" s="89"/>
      <c r="B16" s="90"/>
      <c r="C16" s="91" t="e">
        <f>VLOOKUP(B16,Índice!$A$2:$K$804,2,0)</f>
        <v>#N/A</v>
      </c>
      <c r="D16" s="92">
        <f>VLOOKUP(B16,Índice!$A$2:$K$804,3,0)</f>
        <v>NaN</v>
      </c>
      <c r="E16" s="91" t="e">
        <f>VLOOKUP(B16,Índice!$A$2:$K$804,4,0)</f>
        <v>#N/A</v>
      </c>
      <c r="F16" s="91" t="e">
        <f>VLOOKUP(B16,Índice!$A$2:$K$804,5,0)</f>
        <v>#N/A</v>
      </c>
      <c r="G16" s="93"/>
      <c r="H16" s="94"/>
      <c r="I16" s="91" t="e">
        <f>VLOOKUP(B16,Índice!$A$2:$F$804,6,0)</f>
        <v>#N/A</v>
      </c>
      <c r="J16" s="95"/>
      <c r="K16" s="96" t="e">
        <f>VLOOKUP(B16,Índice!$A$2:$K$804,7,0)</f>
        <v>#N/A</v>
      </c>
      <c r="L16" s="91" t="e">
        <f>VLOOKUP(B16,Índice!$A$2:$K$804,8,0)</f>
        <v>#N/A</v>
      </c>
      <c r="M16" s="91" t="e">
        <f>VLOOKUP(B16,Índice!$A$2:$K$804,9,0)</f>
        <v>#N/A</v>
      </c>
      <c r="N16" s="91" t="e">
        <f>VLOOKUP(B16,Índice!$A$2:$K$804,10,0)</f>
        <v>#N/A</v>
      </c>
      <c r="O16" s="97" t="e">
        <f>VLOOKUP(B16,Índice!$A$2:$K$804,11,0)</f>
        <v>#N/A</v>
      </c>
      <c r="P16" s="87"/>
      <c r="Q16" s="87"/>
      <c r="R16" s="87"/>
      <c r="S16" s="87"/>
      <c r="T16" s="87"/>
      <c r="U16" s="87"/>
      <c r="V16" s="87"/>
      <c r="W16" s="87"/>
      <c r="X16" s="87"/>
      <c r="Y16" s="87"/>
    </row>
    <row r="17" ht="25" customHeight="1" spans="1:25" x14ac:dyDescent="0.25">
      <c r="A17" s="79"/>
      <c r="B17" s="80"/>
      <c r="C17" s="79" t="e">
        <f>VLOOKUP(B17,Índice!$A$2:$K$804,2,0)</f>
        <v>#N/A</v>
      </c>
      <c r="D17" s="81">
        <f>VLOOKUP(B17,Índice!$A$2:$K$804,3,0)</f>
        <v>NaN</v>
      </c>
      <c r="E17" s="79" t="e">
        <f>VLOOKUP(B17,Índice!$A$2:$K$804,4,0)</f>
        <v>#N/A</v>
      </c>
      <c r="F17" s="79" t="e">
        <f>VLOOKUP(B17,Índice!$A$2:$K$804,5,0)</f>
        <v>#N/A</v>
      </c>
      <c r="G17" s="82"/>
      <c r="H17" s="83"/>
      <c r="I17" s="79" t="e">
        <f>VLOOKUP(B17,Índice!$A$2:$F$804,6,0)</f>
        <v>#N/A</v>
      </c>
      <c r="J17" s="84"/>
      <c r="K17" s="85" t="e">
        <f>VLOOKUP(B17,Índice!$A$2:$K$804,7,0)</f>
        <v>#N/A</v>
      </c>
      <c r="L17" s="79" t="e">
        <f>VLOOKUP(B17,Índice!$A$2:$K$804,8,0)</f>
        <v>#N/A</v>
      </c>
      <c r="M17" s="79" t="e">
        <f>VLOOKUP(B17,Índice!$A$2:$K$804,9,0)</f>
        <v>#N/A</v>
      </c>
      <c r="N17" s="79" t="e">
        <f>VLOOKUP(B17,Índice!$A$2:$K$804,10,0)</f>
        <v>#N/A</v>
      </c>
      <c r="O17" s="79" t="e">
        <f>VLOOKUP(B17,Índice!$A$2:$K$804,11,0)</f>
        <v>#N/A</v>
      </c>
      <c r="P17" s="87"/>
      <c r="Q17" s="87"/>
      <c r="R17" s="87"/>
      <c r="S17" s="87"/>
      <c r="T17" s="87"/>
      <c r="U17" s="87"/>
      <c r="V17" s="87"/>
      <c r="W17" s="87"/>
      <c r="X17" s="87"/>
      <c r="Y17" s="87"/>
    </row>
    <row r="18" ht="25" customHeight="1" spans="1:25" x14ac:dyDescent="0.25">
      <c r="A18" s="79"/>
      <c r="B18" s="80"/>
      <c r="C18" s="79" t="e">
        <f>VLOOKUP(B18,Índice!$A$2:$K$804,2,0)</f>
        <v>#N/A</v>
      </c>
      <c r="D18" s="81">
        <f>VLOOKUP(B18,Índice!$A$2:$K$804,3,0)</f>
        <v>NaN</v>
      </c>
      <c r="E18" s="79" t="e">
        <f>VLOOKUP(B18,Índice!$A$2:$K$804,4,0)</f>
        <v>#N/A</v>
      </c>
      <c r="F18" s="79" t="e">
        <f>VLOOKUP(B18,Índice!$A$2:$K$804,5,0)</f>
        <v>#N/A</v>
      </c>
      <c r="G18" s="98"/>
      <c r="H18" s="83"/>
      <c r="I18" s="79" t="e">
        <f>VLOOKUP(B18,Índice!$A$2:$F$804,6,0)</f>
        <v>#N/A</v>
      </c>
      <c r="J18" s="84"/>
      <c r="K18" s="85" t="e">
        <f>VLOOKUP(B18,Índice!$A$2:$K$804,7,0)</f>
        <v>#N/A</v>
      </c>
      <c r="L18" s="79" t="e">
        <f>VLOOKUP(B18,Índice!$A$2:$K$804,8,0)</f>
        <v>#N/A</v>
      </c>
      <c r="M18" s="79" t="e">
        <f>VLOOKUP(B18,Índice!$A$2:$K$804,9,0)</f>
        <v>#N/A</v>
      </c>
      <c r="N18" s="79" t="e">
        <f>VLOOKUP(B18,Índice!$A$2:$K$804,10,0)</f>
        <v>#N/A</v>
      </c>
      <c r="O18" s="79" t="e">
        <f>VLOOKUP(B18,Índice!$A$2:$K$804,11,0)</f>
        <v>#N/A</v>
      </c>
      <c r="P18" s="87"/>
      <c r="Q18" s="87"/>
      <c r="R18" s="87"/>
      <c r="S18" s="87"/>
      <c r="T18" s="87"/>
      <c r="U18" s="87"/>
      <c r="V18" s="87"/>
      <c r="W18" s="87"/>
      <c r="X18" s="87"/>
      <c r="Y18" s="87"/>
    </row>
    <row r="19" ht="25" customHeight="1" spans="1:25" x14ac:dyDescent="0.25">
      <c r="A19" s="79"/>
      <c r="B19" s="80"/>
      <c r="C19" s="79" t="e">
        <f>VLOOKUP(B19,Índice!$A$2:$K$804,2,0)</f>
        <v>#N/A</v>
      </c>
      <c r="D19" s="81">
        <f>VLOOKUP(B19,Índice!$A$2:$K$804,3,0)</f>
        <v>NaN</v>
      </c>
      <c r="E19" s="79" t="e">
        <f>VLOOKUP(B19,Índice!$A$2:$K$804,4,0)</f>
        <v>#N/A</v>
      </c>
      <c r="F19" s="79" t="e">
        <f>VLOOKUP(B19,Índice!$A$2:$K$804,5,0)</f>
        <v>#N/A</v>
      </c>
      <c r="G19" s="98"/>
      <c r="H19" s="83"/>
      <c r="I19" s="79" t="e">
        <f>VLOOKUP(B19,Índice!$A$2:$F$804,6,0)</f>
        <v>#N/A</v>
      </c>
      <c r="J19" s="84"/>
      <c r="K19" s="85" t="e">
        <f>VLOOKUP(B19,Índice!$A$2:$K$804,7,0)</f>
        <v>#N/A</v>
      </c>
      <c r="L19" s="79" t="e">
        <f>VLOOKUP(B19,Índice!$A$2:$K$804,8,0)</f>
        <v>#N/A</v>
      </c>
      <c r="M19" s="79" t="e">
        <f>VLOOKUP(B19,Índice!$A$2:$K$804,9,0)</f>
        <v>#N/A</v>
      </c>
      <c r="N19" s="79" t="e">
        <f>VLOOKUP(B19,Índice!$A$2:$K$804,10,0)</f>
        <v>#N/A</v>
      </c>
      <c r="O19" s="79" t="e">
        <f>VLOOKUP(B19,Índice!$A$2:$K$804,11,0)</f>
        <v>#N/A</v>
      </c>
      <c r="P19" s="87"/>
      <c r="Q19" s="87"/>
      <c r="R19" s="87"/>
      <c r="S19" s="87"/>
      <c r="T19" s="87"/>
      <c r="U19" s="87"/>
      <c r="V19" s="87"/>
      <c r="W19" s="87"/>
      <c r="X19" s="87"/>
      <c r="Y19" s="87"/>
    </row>
    <row r="20" ht="25" customHeight="1" spans="1:25" x14ac:dyDescent="0.25">
      <c r="A20" s="79"/>
      <c r="B20" s="80"/>
      <c r="C20" s="79" t="e">
        <f>VLOOKUP(B20,Índice!$A$2:$K$804,2,0)</f>
        <v>#N/A</v>
      </c>
      <c r="D20" s="81">
        <f>VLOOKUP(B20,Índice!$A$2:$K$804,3,0)</f>
        <v>NaN</v>
      </c>
      <c r="E20" s="79" t="e">
        <f>VLOOKUP(B20,Índice!$A$2:$K$804,4,0)</f>
        <v>#N/A</v>
      </c>
      <c r="F20" s="79" t="e">
        <f>VLOOKUP(B20,Índice!$A$2:$K$804,5,0)</f>
        <v>#N/A</v>
      </c>
      <c r="G20" s="98"/>
      <c r="H20" s="83"/>
      <c r="I20" s="79" t="e">
        <f>VLOOKUP(B20,Índice!$A$2:$F$804,6,0)</f>
        <v>#N/A</v>
      </c>
      <c r="J20" s="84"/>
      <c r="K20" s="85" t="e">
        <f>VLOOKUP(B20,Índice!$A$2:$K$804,7,0)</f>
        <v>#N/A</v>
      </c>
      <c r="L20" s="79" t="e">
        <f>VLOOKUP(B20,Índice!$A$2:$K$804,8,0)</f>
        <v>#N/A</v>
      </c>
      <c r="M20" s="79" t="e">
        <f>VLOOKUP(B20,Índice!$A$2:$K$804,9,0)</f>
        <v>#N/A</v>
      </c>
      <c r="N20" s="79" t="e">
        <f>VLOOKUP(B20,Índice!$A$2:$K$804,10,0)</f>
        <v>#N/A</v>
      </c>
      <c r="O20" s="79" t="e">
        <f>VLOOKUP(B20,Índice!$A$2:$K$804,11,0)</f>
        <v>#N/A</v>
      </c>
      <c r="P20" s="87"/>
      <c r="Q20" s="87"/>
      <c r="R20" s="87"/>
      <c r="S20" s="87"/>
      <c r="T20" s="87"/>
      <c r="U20" s="87"/>
      <c r="V20" s="87"/>
      <c r="W20" s="87"/>
      <c r="X20" s="87"/>
      <c r="Y20" s="87"/>
    </row>
    <row r="21" ht="25" customHeight="1" spans="1:25" x14ac:dyDescent="0.25">
      <c r="A21" s="79"/>
      <c r="B21" s="80"/>
      <c r="C21" s="79" t="e">
        <f>VLOOKUP(B21,Índice!$A$2:$K$804,2,0)</f>
        <v>#N/A</v>
      </c>
      <c r="D21" s="81">
        <f>VLOOKUP(B21,Índice!$A$2:$K$804,3,0)</f>
        <v>NaN</v>
      </c>
      <c r="E21" s="79" t="e">
        <f>VLOOKUP(B21,Índice!$A$2:$K$804,4,0)</f>
        <v>#N/A</v>
      </c>
      <c r="F21" s="79" t="e">
        <f>VLOOKUP(B21,Índice!$A$2:$K$804,5,0)</f>
        <v>#N/A</v>
      </c>
      <c r="G21" s="98"/>
      <c r="H21" s="83"/>
      <c r="I21" s="79" t="e">
        <f>VLOOKUP(B21,Índice!$A$2:$F$804,6,0)</f>
        <v>#N/A</v>
      </c>
      <c r="J21" s="84"/>
      <c r="K21" s="85" t="e">
        <f>VLOOKUP(B21,Índice!$A$2:$K$804,7,0)</f>
        <v>#N/A</v>
      </c>
      <c r="L21" s="79" t="e">
        <f>VLOOKUP(B21,Índice!$A$2:$K$804,8,0)</f>
        <v>#N/A</v>
      </c>
      <c r="M21" s="79" t="e">
        <f>VLOOKUP(B21,Índice!$A$2:$K$804,9,0)</f>
        <v>#N/A</v>
      </c>
      <c r="N21" s="79" t="e">
        <f>VLOOKUP(B21,Índice!$A$2:$K$804,10,0)</f>
        <v>#N/A</v>
      </c>
      <c r="O21" s="79" t="e">
        <f>VLOOKUP(B21,Índice!$A$2:$K$804,11,0)</f>
        <v>#N/A</v>
      </c>
      <c r="P21" s="87"/>
      <c r="Q21" s="87"/>
      <c r="R21" s="87"/>
      <c r="S21" s="87"/>
      <c r="T21" s="87"/>
      <c r="U21" s="87"/>
      <c r="V21" s="87"/>
      <c r="W21" s="87"/>
      <c r="X21" s="87"/>
      <c r="Y21" s="87"/>
    </row>
    <row r="22" ht="23.25" customHeight="1" spans="1:25" x14ac:dyDescent="0.25">
      <c r="A22" s="72"/>
      <c r="B22" s="58"/>
      <c r="C22" s="72"/>
      <c r="D22" s="58"/>
      <c r="E22" s="58"/>
      <c r="F22" s="58"/>
      <c r="G22" s="73"/>
      <c r="H22" s="73"/>
      <c r="I22" s="58"/>
      <c r="J22" s="74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</row>
    <row r="23" ht="23.25" customHeight="1" spans="1:25" x14ac:dyDescent="0.25">
      <c r="A23" s="72"/>
      <c r="B23" s="58"/>
      <c r="C23" s="72"/>
      <c r="D23" s="58"/>
      <c r="E23" s="58"/>
      <c r="F23" s="58"/>
      <c r="G23" s="73"/>
      <c r="H23" s="73"/>
      <c r="I23" s="58"/>
      <c r="J23" s="74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ht="23.25" customHeight="1" spans="1:25" x14ac:dyDescent="0.25">
      <c r="A24" s="72"/>
      <c r="B24" s="58"/>
      <c r="C24" s="72"/>
      <c r="D24" s="58"/>
      <c r="E24" s="58"/>
      <c r="F24" s="58"/>
      <c r="G24" s="73"/>
      <c r="H24" s="73"/>
      <c r="I24" s="58"/>
      <c r="J24" s="74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ht="23.25" customHeight="1" spans="1:25" x14ac:dyDescent="0.25">
      <c r="A25" s="72"/>
      <c r="B25" s="58"/>
      <c r="C25" s="72"/>
      <c r="D25" s="58"/>
      <c r="E25" s="58"/>
      <c r="F25" s="58"/>
      <c r="G25" s="73"/>
      <c r="H25" s="73"/>
      <c r="I25" s="58"/>
      <c r="J25" s="74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ht="23.25" customHeight="1" spans="1:25" x14ac:dyDescent="0.25">
      <c r="A26" s="72"/>
      <c r="B26" s="58"/>
      <c r="C26" s="72"/>
      <c r="D26" s="58"/>
      <c r="E26" s="58"/>
      <c r="F26" s="58"/>
      <c r="G26" s="73"/>
      <c r="H26" s="73"/>
      <c r="I26" s="58"/>
      <c r="J26" s="74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ht="23.25" customHeight="1" spans="1:25" x14ac:dyDescent="0.25">
      <c r="A27" s="72"/>
      <c r="B27" s="58"/>
      <c r="C27" s="72"/>
      <c r="D27" s="58"/>
      <c r="E27" s="58"/>
      <c r="F27" s="58"/>
      <c r="G27" s="73"/>
      <c r="H27" s="73"/>
      <c r="I27" s="58"/>
      <c r="J27" s="74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ht="23.25" customHeight="1" spans="1:25" x14ac:dyDescent="0.25">
      <c r="A28" s="72"/>
      <c r="B28" s="58"/>
      <c r="C28" s="72"/>
      <c r="D28" s="58"/>
      <c r="E28" s="58"/>
      <c r="F28" s="58"/>
      <c r="G28" s="73"/>
      <c r="H28" s="73"/>
      <c r="I28" s="58"/>
      <c r="J28" s="74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ht="23.25" customHeight="1" spans="1:25" x14ac:dyDescent="0.25">
      <c r="A29" s="72"/>
      <c r="B29" s="58"/>
      <c r="C29" s="72"/>
      <c r="D29" s="58"/>
      <c r="E29" s="58"/>
      <c r="F29" s="58"/>
      <c r="G29" s="73"/>
      <c r="H29" s="73"/>
      <c r="I29" s="58"/>
      <c r="J29" s="74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ht="23.25" customHeight="1" spans="1:25" x14ac:dyDescent="0.25">
      <c r="A30" s="72"/>
      <c r="B30" s="58"/>
      <c r="C30" s="72"/>
      <c r="D30" s="58"/>
      <c r="E30" s="58"/>
      <c r="F30" s="58"/>
      <c r="G30" s="73"/>
      <c r="H30" s="73"/>
      <c r="I30" s="58"/>
      <c r="J30" s="74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ht="23.25" customHeight="1" spans="1:25" x14ac:dyDescent="0.25">
      <c r="A31" s="72"/>
      <c r="B31" s="58"/>
      <c r="C31" s="72"/>
      <c r="D31" s="58"/>
      <c r="E31" s="58"/>
      <c r="F31" s="58"/>
      <c r="G31" s="73"/>
      <c r="H31" s="73"/>
      <c r="I31" s="58"/>
      <c r="J31" s="74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ht="23.25" customHeight="1" spans="1:25" x14ac:dyDescent="0.25">
      <c r="A32" s="72"/>
      <c r="B32" s="58"/>
      <c r="C32" s="72"/>
      <c r="D32" s="58"/>
      <c r="E32" s="58"/>
      <c r="F32" s="58"/>
      <c r="G32" s="73"/>
      <c r="H32" s="73"/>
      <c r="I32" s="58"/>
      <c r="J32" s="74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ht="23.25" customHeight="1" spans="1:25" x14ac:dyDescent="0.25">
      <c r="A33" s="72"/>
      <c r="B33" s="58"/>
      <c r="C33" s="72"/>
      <c r="D33" s="58"/>
      <c r="E33" s="58"/>
      <c r="F33" s="58"/>
      <c r="G33" s="73"/>
      <c r="H33" s="73"/>
      <c r="I33" s="58"/>
      <c r="J33" s="74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ht="23.25" customHeight="1" spans="1:25" x14ac:dyDescent="0.25">
      <c r="A34" s="72"/>
      <c r="B34" s="58"/>
      <c r="C34" s="72"/>
      <c r="D34" s="58"/>
      <c r="E34" s="58"/>
      <c r="F34" s="58"/>
      <c r="G34" s="73"/>
      <c r="H34" s="73"/>
      <c r="I34" s="58"/>
      <c r="J34" s="74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ht="23.25" customHeight="1" spans="1:25" x14ac:dyDescent="0.25">
      <c r="A35" s="72"/>
      <c r="B35" s="58"/>
      <c r="C35" s="72"/>
      <c r="D35" s="58"/>
      <c r="E35" s="58"/>
      <c r="F35" s="58"/>
      <c r="G35" s="73"/>
      <c r="H35" s="73"/>
      <c r="I35" s="58"/>
      <c r="J35" s="74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ht="23.25" customHeight="1" spans="1:25" x14ac:dyDescent="0.25">
      <c r="A36" s="72"/>
      <c r="B36" s="58"/>
      <c r="C36" s="72"/>
      <c r="D36" s="58"/>
      <c r="E36" s="58"/>
      <c r="F36" s="58"/>
      <c r="G36" s="73"/>
      <c r="H36" s="73"/>
      <c r="I36" s="58"/>
      <c r="J36" s="74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ht="23.25" customHeight="1" spans="1:25" x14ac:dyDescent="0.25">
      <c r="A37" s="72"/>
      <c r="B37" s="58"/>
      <c r="C37" s="72"/>
      <c r="D37" s="58"/>
      <c r="E37" s="58"/>
      <c r="F37" s="58"/>
      <c r="G37" s="73"/>
      <c r="H37" s="73"/>
      <c r="I37" s="58"/>
      <c r="J37" s="74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ht="23.25" customHeight="1" spans="1:25" x14ac:dyDescent="0.25">
      <c r="A38" s="72"/>
      <c r="B38" s="58"/>
      <c r="C38" s="72"/>
      <c r="D38" s="58"/>
      <c r="E38" s="58"/>
      <c r="F38" s="58"/>
      <c r="G38" s="73"/>
      <c r="H38" s="73"/>
      <c r="I38" s="58"/>
      <c r="J38" s="74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ht="23.25" customHeight="1" spans="1:25" x14ac:dyDescent="0.25">
      <c r="A39" s="72"/>
      <c r="B39" s="58"/>
      <c r="C39" s="72"/>
      <c r="D39" s="58"/>
      <c r="E39" s="58"/>
      <c r="F39" s="58"/>
      <c r="G39" s="73"/>
      <c r="H39" s="73"/>
      <c r="I39" s="58"/>
      <c r="J39" s="74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ht="23.25" customHeight="1" spans="1:25" x14ac:dyDescent="0.25">
      <c r="A40" s="72"/>
      <c r="B40" s="58"/>
      <c r="C40" s="72"/>
      <c r="D40" s="58"/>
      <c r="E40" s="58"/>
      <c r="F40" s="58"/>
      <c r="G40" s="73"/>
      <c r="H40" s="73"/>
      <c r="I40" s="58"/>
      <c r="J40" s="74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ht="23.25" customHeight="1" spans="1:25" x14ac:dyDescent="0.25">
      <c r="A41" s="72"/>
      <c r="B41" s="58"/>
      <c r="C41" s="72"/>
      <c r="D41" s="58"/>
      <c r="E41" s="58"/>
      <c r="F41" s="58"/>
      <c r="G41" s="73"/>
      <c r="H41" s="73"/>
      <c r="I41" s="58"/>
      <c r="J41" s="74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ht="23.25" customHeight="1" spans="1:25" x14ac:dyDescent="0.25">
      <c r="A42" s="72"/>
      <c r="B42" s="58"/>
      <c r="C42" s="72"/>
      <c r="D42" s="58"/>
      <c r="E42" s="58"/>
      <c r="F42" s="58"/>
      <c r="G42" s="73"/>
      <c r="H42" s="73"/>
      <c r="I42" s="58"/>
      <c r="J42" s="74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ht="23.25" customHeight="1" spans="1:25" x14ac:dyDescent="0.25">
      <c r="A43" s="72"/>
      <c r="B43" s="58"/>
      <c r="C43" s="72"/>
      <c r="D43" s="58"/>
      <c r="E43" s="58"/>
      <c r="F43" s="58"/>
      <c r="G43" s="73"/>
      <c r="H43" s="73"/>
      <c r="I43" s="58"/>
      <c r="J43" s="74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ht="23.25" customHeight="1" spans="1:25" x14ac:dyDescent="0.25">
      <c r="A44" s="72"/>
      <c r="B44" s="58"/>
      <c r="C44" s="72"/>
      <c r="D44" s="58"/>
      <c r="E44" s="58"/>
      <c r="F44" s="58"/>
      <c r="G44" s="73"/>
      <c r="H44" s="73"/>
      <c r="I44" s="58"/>
      <c r="J44" s="74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ht="23.25" customHeight="1" spans="1:25" x14ac:dyDescent="0.25">
      <c r="A45" s="72"/>
      <c r="B45" s="58"/>
      <c r="C45" s="72"/>
      <c r="D45" s="58"/>
      <c r="E45" s="58"/>
      <c r="F45" s="58"/>
      <c r="G45" s="73"/>
      <c r="H45" s="73"/>
      <c r="I45" s="58"/>
      <c r="J45" s="74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ht="23.25" customHeight="1" spans="1:25" x14ac:dyDescent="0.25">
      <c r="A46" s="72"/>
      <c r="B46" s="58"/>
      <c r="C46" s="72"/>
      <c r="D46" s="58"/>
      <c r="E46" s="58"/>
      <c r="F46" s="58"/>
      <c r="G46" s="73"/>
      <c r="H46" s="73"/>
      <c r="I46" s="58"/>
      <c r="J46" s="74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ht="23.25" customHeight="1" spans="1:25" x14ac:dyDescent="0.25">
      <c r="A47" s="72"/>
      <c r="B47" s="58"/>
      <c r="C47" s="72"/>
      <c r="D47" s="58"/>
      <c r="E47" s="58"/>
      <c r="F47" s="58"/>
      <c r="G47" s="73"/>
      <c r="H47" s="73"/>
      <c r="I47" s="58"/>
      <c r="J47" s="74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ht="23.25" customHeight="1" spans="1:25" x14ac:dyDescent="0.25">
      <c r="A48" s="72"/>
      <c r="B48" s="58"/>
      <c r="C48" s="72"/>
      <c r="D48" s="58"/>
      <c r="E48" s="58"/>
      <c r="F48" s="58"/>
      <c r="G48" s="73"/>
      <c r="H48" s="73"/>
      <c r="I48" s="58"/>
      <c r="J48" s="74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ht="23.25" customHeight="1" spans="1:25" x14ac:dyDescent="0.25">
      <c r="A49" s="72"/>
      <c r="B49" s="58"/>
      <c r="C49" s="72"/>
      <c r="D49" s="58"/>
      <c r="E49" s="58"/>
      <c r="F49" s="58"/>
      <c r="G49" s="73"/>
      <c r="H49" s="73"/>
      <c r="I49" s="58"/>
      <c r="J49" s="74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ht="23.25" customHeight="1" spans="1:25" x14ac:dyDescent="0.25">
      <c r="A50" s="72"/>
      <c r="B50" s="58"/>
      <c r="C50" s="72"/>
      <c r="D50" s="58"/>
      <c r="E50" s="58"/>
      <c r="F50" s="58"/>
      <c r="G50" s="73"/>
      <c r="H50" s="73"/>
      <c r="I50" s="58"/>
      <c r="J50" s="74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ht="23.25" customHeight="1" spans="1:25" x14ac:dyDescent="0.25">
      <c r="A51" s="72"/>
      <c r="B51" s="58"/>
      <c r="C51" s="72"/>
      <c r="D51" s="58"/>
      <c r="E51" s="58"/>
      <c r="F51" s="58"/>
      <c r="G51" s="73"/>
      <c r="H51" s="73"/>
      <c r="I51" s="58"/>
      <c r="J51" s="74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ht="23.25" customHeight="1" spans="1:25" x14ac:dyDescent="0.25">
      <c r="A52" s="72"/>
      <c r="B52" s="58"/>
      <c r="C52" s="72"/>
      <c r="D52" s="58"/>
      <c r="E52" s="58"/>
      <c r="F52" s="58"/>
      <c r="G52" s="73"/>
      <c r="H52" s="73"/>
      <c r="I52" s="58"/>
      <c r="J52" s="74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ht="23.25" customHeight="1" spans="1:25" x14ac:dyDescent="0.25">
      <c r="A53" s="72"/>
      <c r="B53" s="58"/>
      <c r="C53" s="72"/>
      <c r="D53" s="58"/>
      <c r="E53" s="58"/>
      <c r="F53" s="58"/>
      <c r="G53" s="73"/>
      <c r="H53" s="73"/>
      <c r="I53" s="58"/>
      <c r="J53" s="74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ht="23.25" customHeight="1" spans="1:25" x14ac:dyDescent="0.25">
      <c r="A54" s="72"/>
      <c r="B54" s="58"/>
      <c r="C54" s="72"/>
      <c r="D54" s="58"/>
      <c r="E54" s="58"/>
      <c r="F54" s="58"/>
      <c r="G54" s="73"/>
      <c r="H54" s="73"/>
      <c r="I54" s="58"/>
      <c r="J54" s="74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</row>
    <row r="55" ht="23.25" customHeight="1" spans="1:25" x14ac:dyDescent="0.25">
      <c r="A55" s="72"/>
      <c r="B55" s="58"/>
      <c r="C55" s="72"/>
      <c r="D55" s="58"/>
      <c r="E55" s="58"/>
      <c r="F55" s="58"/>
      <c r="G55" s="73"/>
      <c r="H55" s="73"/>
      <c r="I55" s="58"/>
      <c r="J55" s="74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</row>
    <row r="56" ht="23.25" customHeight="1" spans="1:25" x14ac:dyDescent="0.25">
      <c r="A56" s="72"/>
      <c r="B56" s="58"/>
      <c r="C56" s="72"/>
      <c r="D56" s="58"/>
      <c r="E56" s="58"/>
      <c r="F56" s="58"/>
      <c r="G56" s="73"/>
      <c r="H56" s="73"/>
      <c r="I56" s="58"/>
      <c r="J56" s="74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 ht="23.25" customHeight="1" spans="1:25" x14ac:dyDescent="0.25">
      <c r="A57" s="72"/>
      <c r="B57" s="58"/>
      <c r="C57" s="72"/>
      <c r="D57" s="58"/>
      <c r="E57" s="58"/>
      <c r="F57" s="58"/>
      <c r="G57" s="73"/>
      <c r="H57" s="73"/>
      <c r="I57" s="58"/>
      <c r="J57" s="74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ht="23.25" customHeight="1" spans="1:25" x14ac:dyDescent="0.25">
      <c r="A58" s="72"/>
      <c r="B58" s="58"/>
      <c r="C58" s="72"/>
      <c r="D58" s="58"/>
      <c r="E58" s="58"/>
      <c r="F58" s="58"/>
      <c r="G58" s="73"/>
      <c r="H58" s="73"/>
      <c r="I58" s="58"/>
      <c r="J58" s="74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ht="23.25" customHeight="1" spans="1:25" x14ac:dyDescent="0.25">
      <c r="A59" s="72"/>
      <c r="B59" s="58"/>
      <c r="C59" s="72"/>
      <c r="D59" s="58"/>
      <c r="E59" s="58"/>
      <c r="F59" s="58"/>
      <c r="G59" s="73"/>
      <c r="H59" s="73"/>
      <c r="I59" s="58"/>
      <c r="J59" s="74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ht="23.25" customHeight="1" spans="1:25" x14ac:dyDescent="0.25">
      <c r="A60" s="72"/>
      <c r="B60" s="58"/>
      <c r="C60" s="72"/>
      <c r="D60" s="58"/>
      <c r="E60" s="58"/>
      <c r="F60" s="58"/>
      <c r="G60" s="73"/>
      <c r="H60" s="73"/>
      <c r="I60" s="58"/>
      <c r="J60" s="74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ht="23.25" customHeight="1" spans="1:25" x14ac:dyDescent="0.25">
      <c r="A61" s="72"/>
      <c r="B61" s="58"/>
      <c r="C61" s="72"/>
      <c r="D61" s="58"/>
      <c r="E61" s="58"/>
      <c r="F61" s="58"/>
      <c r="G61" s="73"/>
      <c r="H61" s="73"/>
      <c r="I61" s="58"/>
      <c r="J61" s="74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ht="23.25" customHeight="1" spans="1:25" x14ac:dyDescent="0.25">
      <c r="A62" s="72"/>
      <c r="B62" s="58"/>
      <c r="C62" s="72"/>
      <c r="D62" s="58"/>
      <c r="E62" s="58"/>
      <c r="F62" s="58"/>
      <c r="G62" s="73"/>
      <c r="H62" s="73"/>
      <c r="I62" s="58"/>
      <c r="J62" s="74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ht="23.25" customHeight="1" spans="1:25" x14ac:dyDescent="0.25">
      <c r="A63" s="72"/>
      <c r="B63" s="58"/>
      <c r="C63" s="72"/>
      <c r="D63" s="58"/>
      <c r="E63" s="58"/>
      <c r="F63" s="58"/>
      <c r="G63" s="73"/>
      <c r="H63" s="73"/>
      <c r="I63" s="58"/>
      <c r="J63" s="74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ht="23.25" customHeight="1" spans="1:25" x14ac:dyDescent="0.25">
      <c r="A64" s="72"/>
      <c r="B64" s="58"/>
      <c r="C64" s="72"/>
      <c r="D64" s="58"/>
      <c r="E64" s="58"/>
      <c r="F64" s="58"/>
      <c r="G64" s="73"/>
      <c r="H64" s="73"/>
      <c r="I64" s="58"/>
      <c r="J64" s="74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ht="23.25" customHeight="1" spans="1:25" x14ac:dyDescent="0.25">
      <c r="A65" s="72"/>
      <c r="B65" s="58"/>
      <c r="C65" s="72"/>
      <c r="D65" s="58"/>
      <c r="E65" s="58"/>
      <c r="F65" s="58"/>
      <c r="G65" s="73"/>
      <c r="H65" s="73"/>
      <c r="I65" s="58"/>
      <c r="J65" s="74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 ht="23.25" customHeight="1" spans="1:25" x14ac:dyDescent="0.25">
      <c r="A66" s="72"/>
      <c r="B66" s="58"/>
      <c r="C66" s="72"/>
      <c r="D66" s="58"/>
      <c r="E66" s="58"/>
      <c r="F66" s="58"/>
      <c r="G66" s="73"/>
      <c r="H66" s="73"/>
      <c r="I66" s="58"/>
      <c r="J66" s="74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</row>
    <row r="67" ht="23.25" customHeight="1" spans="1:25" x14ac:dyDescent="0.25">
      <c r="A67" s="72"/>
      <c r="B67" s="58"/>
      <c r="C67" s="72"/>
      <c r="D67" s="58"/>
      <c r="E67" s="58"/>
      <c r="F67" s="58"/>
      <c r="G67" s="73"/>
      <c r="H67" s="73"/>
      <c r="I67" s="58"/>
      <c r="J67" s="74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</row>
    <row r="68" ht="23.25" customHeight="1" spans="1:25" x14ac:dyDescent="0.25">
      <c r="A68" s="72"/>
      <c r="B68" s="58"/>
      <c r="C68" s="72"/>
      <c r="D68" s="58"/>
      <c r="E68" s="58"/>
      <c r="F68" s="58"/>
      <c r="G68" s="73"/>
      <c r="H68" s="73"/>
      <c r="I68" s="58"/>
      <c r="J68" s="74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</row>
    <row r="69" ht="23.25" customHeight="1" spans="1:25" x14ac:dyDescent="0.25">
      <c r="A69" s="72"/>
      <c r="B69" s="58"/>
      <c r="C69" s="72"/>
      <c r="D69" s="58"/>
      <c r="E69" s="58"/>
      <c r="F69" s="58"/>
      <c r="G69" s="73"/>
      <c r="H69" s="73"/>
      <c r="I69" s="58"/>
      <c r="J69" s="74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</row>
    <row r="70" ht="23.25" customHeight="1" spans="1:25" x14ac:dyDescent="0.25">
      <c r="A70" s="72"/>
      <c r="B70" s="58"/>
      <c r="C70" s="72"/>
      <c r="D70" s="58"/>
      <c r="E70" s="58"/>
      <c r="F70" s="58"/>
      <c r="G70" s="73"/>
      <c r="H70" s="73"/>
      <c r="I70" s="58"/>
      <c r="J70" s="74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</row>
    <row r="71" ht="23.25" customHeight="1" spans="1:25" x14ac:dyDescent="0.25">
      <c r="A71" s="72"/>
      <c r="B71" s="58"/>
      <c r="C71" s="72"/>
      <c r="D71" s="58"/>
      <c r="E71" s="58"/>
      <c r="F71" s="58"/>
      <c r="G71" s="73"/>
      <c r="H71" s="73"/>
      <c r="I71" s="58"/>
      <c r="J71" s="74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</row>
    <row r="72" ht="23.25" customHeight="1" spans="1:25" x14ac:dyDescent="0.25">
      <c r="A72" s="72"/>
      <c r="B72" s="58"/>
      <c r="C72" s="72"/>
      <c r="D72" s="58"/>
      <c r="E72" s="58"/>
      <c r="F72" s="58"/>
      <c r="G72" s="73"/>
      <c r="H72" s="73"/>
      <c r="I72" s="58"/>
      <c r="J72" s="74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</row>
    <row r="73" ht="23.25" customHeight="1" spans="1:25" x14ac:dyDescent="0.25">
      <c r="A73" s="72"/>
      <c r="B73" s="58"/>
      <c r="C73" s="72"/>
      <c r="D73" s="58"/>
      <c r="E73" s="58"/>
      <c r="F73" s="58"/>
      <c r="G73" s="73"/>
      <c r="H73" s="73"/>
      <c r="I73" s="58"/>
      <c r="J73" s="74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</row>
    <row r="74" ht="23.25" customHeight="1" spans="1:25" x14ac:dyDescent="0.25">
      <c r="A74" s="72"/>
      <c r="B74" s="58"/>
      <c r="C74" s="72"/>
      <c r="D74" s="58"/>
      <c r="E74" s="58"/>
      <c r="F74" s="58"/>
      <c r="G74" s="73"/>
      <c r="H74" s="73"/>
      <c r="I74" s="58"/>
      <c r="J74" s="74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ht="23.25" customHeight="1" spans="1:25" x14ac:dyDescent="0.25">
      <c r="A75" s="72"/>
      <c r="B75" s="58"/>
      <c r="C75" s="72"/>
      <c r="D75" s="58"/>
      <c r="E75" s="58"/>
      <c r="F75" s="58"/>
      <c r="G75" s="73"/>
      <c r="H75" s="73"/>
      <c r="I75" s="58"/>
      <c r="J75" s="74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ht="23.25" customHeight="1" spans="1:25" x14ac:dyDescent="0.25">
      <c r="A76" s="72"/>
      <c r="B76" s="58"/>
      <c r="C76" s="72"/>
      <c r="D76" s="58"/>
      <c r="E76" s="58"/>
      <c r="F76" s="58"/>
      <c r="G76" s="73"/>
      <c r="H76" s="73"/>
      <c r="I76" s="58"/>
      <c r="J76" s="74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ht="23.25" customHeight="1" spans="1:25" x14ac:dyDescent="0.25">
      <c r="A77" s="72"/>
      <c r="B77" s="58"/>
      <c r="C77" s="72"/>
      <c r="D77" s="58"/>
      <c r="E77" s="58"/>
      <c r="F77" s="58"/>
      <c r="G77" s="73"/>
      <c r="H77" s="73"/>
      <c r="I77" s="58"/>
      <c r="J77" s="74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ht="23.25" customHeight="1" spans="1:25" x14ac:dyDescent="0.25">
      <c r="A78" s="72"/>
      <c r="B78" s="58"/>
      <c r="C78" s="72"/>
      <c r="D78" s="58"/>
      <c r="E78" s="58"/>
      <c r="F78" s="58"/>
      <c r="G78" s="73"/>
      <c r="H78" s="73"/>
      <c r="I78" s="58"/>
      <c r="J78" s="74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ht="23.25" customHeight="1" spans="1:25" x14ac:dyDescent="0.25">
      <c r="A79" s="72"/>
      <c r="B79" s="58"/>
      <c r="C79" s="72"/>
      <c r="D79" s="58"/>
      <c r="E79" s="58"/>
      <c r="F79" s="58"/>
      <c r="G79" s="73"/>
      <c r="H79" s="73"/>
      <c r="I79" s="58"/>
      <c r="J79" s="74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ht="23.25" customHeight="1" spans="1:25" x14ac:dyDescent="0.25">
      <c r="A80" s="72"/>
      <c r="B80" s="58"/>
      <c r="C80" s="72"/>
      <c r="D80" s="58"/>
      <c r="E80" s="58"/>
      <c r="F80" s="58"/>
      <c r="G80" s="73"/>
      <c r="H80" s="73"/>
      <c r="I80" s="58"/>
      <c r="J80" s="74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ht="23.25" customHeight="1" spans="1:25" x14ac:dyDescent="0.25">
      <c r="A81" s="72"/>
      <c r="B81" s="58"/>
      <c r="C81" s="72"/>
      <c r="D81" s="58"/>
      <c r="E81" s="58"/>
      <c r="F81" s="58"/>
      <c r="G81" s="73"/>
      <c r="H81" s="73"/>
      <c r="I81" s="58"/>
      <c r="J81" s="74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  <row r="82" ht="23.25" customHeight="1" spans="1:25" x14ac:dyDescent="0.25">
      <c r="A82" s="72"/>
      <c r="B82" s="58"/>
      <c r="C82" s="72"/>
      <c r="D82" s="58"/>
      <c r="E82" s="58"/>
      <c r="F82" s="58"/>
      <c r="G82" s="73"/>
      <c r="H82" s="73"/>
      <c r="I82" s="58"/>
      <c r="J82" s="74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</row>
    <row r="83" ht="23.25" customHeight="1" spans="1:25" x14ac:dyDescent="0.25">
      <c r="A83" s="72"/>
      <c r="B83" s="58"/>
      <c r="C83" s="72"/>
      <c r="D83" s="58"/>
      <c r="E83" s="58"/>
      <c r="F83" s="58"/>
      <c r="G83" s="73"/>
      <c r="H83" s="73"/>
      <c r="I83" s="58"/>
      <c r="J83" s="74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</row>
    <row r="84" ht="23.25" customHeight="1" spans="1:25" x14ac:dyDescent="0.25">
      <c r="A84" s="72"/>
      <c r="B84" s="58"/>
      <c r="C84" s="72"/>
      <c r="D84" s="58"/>
      <c r="E84" s="58"/>
      <c r="F84" s="58"/>
      <c r="G84" s="73"/>
      <c r="H84" s="73"/>
      <c r="I84" s="58"/>
      <c r="J84" s="74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</row>
    <row r="85" ht="23.25" customHeight="1" spans="1:25" x14ac:dyDescent="0.25">
      <c r="A85" s="72"/>
      <c r="B85" s="58"/>
      <c r="C85" s="72"/>
      <c r="D85" s="58"/>
      <c r="E85" s="58"/>
      <c r="F85" s="58"/>
      <c r="G85" s="73"/>
      <c r="H85" s="73"/>
      <c r="I85" s="58"/>
      <c r="J85" s="74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</row>
    <row r="86" ht="23.25" customHeight="1" spans="1:25" x14ac:dyDescent="0.25">
      <c r="A86" s="72"/>
      <c r="B86" s="58"/>
      <c r="C86" s="72"/>
      <c r="D86" s="58"/>
      <c r="E86" s="58"/>
      <c r="F86" s="58"/>
      <c r="G86" s="73"/>
      <c r="H86" s="73"/>
      <c r="I86" s="58"/>
      <c r="J86" s="74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</row>
    <row r="87" ht="23.25" customHeight="1" spans="1:25" x14ac:dyDescent="0.25">
      <c r="A87" s="72"/>
      <c r="B87" s="58"/>
      <c r="C87" s="72"/>
      <c r="D87" s="58"/>
      <c r="E87" s="58"/>
      <c r="F87" s="58"/>
      <c r="G87" s="73"/>
      <c r="H87" s="73"/>
      <c r="I87" s="58"/>
      <c r="J87" s="74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</row>
    <row r="88" ht="23.25" customHeight="1" spans="1:25" x14ac:dyDescent="0.25">
      <c r="A88" s="72"/>
      <c r="B88" s="58"/>
      <c r="C88" s="72"/>
      <c r="D88" s="58"/>
      <c r="E88" s="58"/>
      <c r="F88" s="58"/>
      <c r="G88" s="73"/>
      <c r="H88" s="73"/>
      <c r="I88" s="58"/>
      <c r="J88" s="74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</row>
    <row r="89" ht="23.25" customHeight="1" spans="1:25" x14ac:dyDescent="0.25">
      <c r="A89" s="72"/>
      <c r="B89" s="58"/>
      <c r="C89" s="72"/>
      <c r="D89" s="58"/>
      <c r="E89" s="58"/>
      <c r="F89" s="58"/>
      <c r="G89" s="73"/>
      <c r="H89" s="73"/>
      <c r="I89" s="58"/>
      <c r="J89" s="74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</row>
    <row r="90" ht="23.25" customHeight="1" spans="1:25" x14ac:dyDescent="0.25">
      <c r="A90" s="72"/>
      <c r="B90" s="58"/>
      <c r="C90" s="72"/>
      <c r="D90" s="58"/>
      <c r="E90" s="58"/>
      <c r="F90" s="58"/>
      <c r="G90" s="73"/>
      <c r="H90" s="73"/>
      <c r="I90" s="58"/>
      <c r="J90" s="74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</row>
    <row r="91" ht="23.25" customHeight="1" spans="1:25" x14ac:dyDescent="0.25">
      <c r="A91" s="72"/>
      <c r="B91" s="58"/>
      <c r="C91" s="72"/>
      <c r="D91" s="58"/>
      <c r="E91" s="58"/>
      <c r="F91" s="58"/>
      <c r="G91" s="73"/>
      <c r="H91" s="73"/>
      <c r="I91" s="58"/>
      <c r="J91" s="74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</row>
    <row r="92" ht="23.25" customHeight="1" spans="1:25" x14ac:dyDescent="0.25">
      <c r="A92" s="72"/>
      <c r="B92" s="58"/>
      <c r="C92" s="72"/>
      <c r="D92" s="58"/>
      <c r="E92" s="58"/>
      <c r="F92" s="58"/>
      <c r="G92" s="73"/>
      <c r="H92" s="73"/>
      <c r="I92" s="58"/>
      <c r="J92" s="74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</row>
    <row r="93" ht="23.25" customHeight="1" spans="1:25" x14ac:dyDescent="0.25">
      <c r="A93" s="72"/>
      <c r="B93" s="58"/>
      <c r="C93" s="72"/>
      <c r="D93" s="58"/>
      <c r="E93" s="58"/>
      <c r="F93" s="58"/>
      <c r="G93" s="73"/>
      <c r="H93" s="73"/>
      <c r="I93" s="58"/>
      <c r="J93" s="74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</row>
    <row r="94" ht="23.25" customHeight="1" spans="1:25" x14ac:dyDescent="0.25">
      <c r="A94" s="72"/>
      <c r="B94" s="58"/>
      <c r="C94" s="72"/>
      <c r="D94" s="58"/>
      <c r="E94" s="58"/>
      <c r="F94" s="58"/>
      <c r="G94" s="73"/>
      <c r="H94" s="73"/>
      <c r="I94" s="58"/>
      <c r="J94" s="74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</row>
    <row r="95" ht="23.25" customHeight="1" spans="1:25" x14ac:dyDescent="0.25">
      <c r="A95" s="72"/>
      <c r="B95" s="58"/>
      <c r="C95" s="72"/>
      <c r="D95" s="58"/>
      <c r="E95" s="58"/>
      <c r="F95" s="58"/>
      <c r="G95" s="73"/>
      <c r="H95" s="73"/>
      <c r="I95" s="58"/>
      <c r="J95" s="74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</row>
    <row r="96" ht="23.25" customHeight="1" spans="1:25" x14ac:dyDescent="0.25">
      <c r="A96" s="72"/>
      <c r="B96" s="58"/>
      <c r="C96" s="72"/>
      <c r="D96" s="58"/>
      <c r="E96" s="58"/>
      <c r="F96" s="58"/>
      <c r="G96" s="73"/>
      <c r="H96" s="73"/>
      <c r="I96" s="58"/>
      <c r="J96" s="74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</row>
    <row r="97" ht="23.25" customHeight="1" spans="1:25" x14ac:dyDescent="0.25">
      <c r="A97" s="72"/>
      <c r="B97" s="58"/>
      <c r="C97" s="72"/>
      <c r="D97" s="58"/>
      <c r="E97" s="58"/>
      <c r="F97" s="58"/>
      <c r="G97" s="73"/>
      <c r="H97" s="73"/>
      <c r="I97" s="58"/>
      <c r="J97" s="74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</row>
    <row r="98" ht="23.25" customHeight="1" spans="1:25" x14ac:dyDescent="0.25">
      <c r="A98" s="72"/>
      <c r="B98" s="58"/>
      <c r="C98" s="72"/>
      <c r="D98" s="58"/>
      <c r="E98" s="58"/>
      <c r="F98" s="58"/>
      <c r="G98" s="73"/>
      <c r="H98" s="73"/>
      <c r="I98" s="58"/>
      <c r="J98" s="74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</row>
    <row r="99" ht="23.25" customHeight="1" spans="1:25" x14ac:dyDescent="0.25">
      <c r="A99" s="72"/>
      <c r="B99" s="58"/>
      <c r="C99" s="72"/>
      <c r="D99" s="58"/>
      <c r="E99" s="58"/>
      <c r="F99" s="58"/>
      <c r="G99" s="73"/>
      <c r="H99" s="73"/>
      <c r="I99" s="58"/>
      <c r="J99" s="74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</row>
    <row r="100" ht="23.25" customHeight="1" spans="1:25" x14ac:dyDescent="0.25">
      <c r="A100" s="72"/>
      <c r="B100" s="58"/>
      <c r="C100" s="72"/>
      <c r="D100" s="58"/>
      <c r="E100" s="58"/>
      <c r="F100" s="58"/>
      <c r="G100" s="73"/>
      <c r="H100" s="73"/>
      <c r="I100" s="58"/>
      <c r="J100" s="74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</row>
    <row r="101" ht="23.25" customHeight="1" spans="1:25" x14ac:dyDescent="0.25">
      <c r="A101" s="72"/>
      <c r="B101" s="58"/>
      <c r="C101" s="72"/>
      <c r="D101" s="58"/>
      <c r="E101" s="58"/>
      <c r="F101" s="58"/>
      <c r="G101" s="73"/>
      <c r="H101" s="73"/>
      <c r="I101" s="58"/>
      <c r="J101" s="74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</row>
    <row r="102" ht="23.25" customHeight="1" spans="1:25" x14ac:dyDescent="0.25">
      <c r="A102" s="72"/>
      <c r="B102" s="58"/>
      <c r="C102" s="72"/>
      <c r="D102" s="58"/>
      <c r="E102" s="58"/>
      <c r="F102" s="58"/>
      <c r="G102" s="73"/>
      <c r="H102" s="73"/>
      <c r="I102" s="58"/>
      <c r="J102" s="74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</row>
    <row r="103" ht="23.25" customHeight="1" spans="1:25" x14ac:dyDescent="0.25">
      <c r="A103" s="72"/>
      <c r="B103" s="58"/>
      <c r="C103" s="72"/>
      <c r="D103" s="58"/>
      <c r="E103" s="58"/>
      <c r="F103" s="58"/>
      <c r="G103" s="73"/>
      <c r="H103" s="73"/>
      <c r="I103" s="58"/>
      <c r="J103" s="74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</row>
    <row r="104" ht="23.25" customHeight="1" spans="1:25" x14ac:dyDescent="0.25">
      <c r="A104" s="72"/>
      <c r="B104" s="58"/>
      <c r="C104" s="72"/>
      <c r="D104" s="58"/>
      <c r="E104" s="58"/>
      <c r="F104" s="58"/>
      <c r="G104" s="73"/>
      <c r="H104" s="73"/>
      <c r="I104" s="58"/>
      <c r="J104" s="74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</row>
    <row r="105" ht="23.25" customHeight="1" spans="1:25" x14ac:dyDescent="0.25">
      <c r="A105" s="72"/>
      <c r="B105" s="58"/>
      <c r="C105" s="72"/>
      <c r="D105" s="58"/>
      <c r="E105" s="58"/>
      <c r="F105" s="58"/>
      <c r="G105" s="73"/>
      <c r="H105" s="73"/>
      <c r="I105" s="58"/>
      <c r="J105" s="74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</row>
    <row r="106" ht="23.25" customHeight="1" spans="1:25" x14ac:dyDescent="0.25">
      <c r="A106" s="72"/>
      <c r="B106" s="58"/>
      <c r="C106" s="72"/>
      <c r="D106" s="58"/>
      <c r="E106" s="58"/>
      <c r="F106" s="58"/>
      <c r="G106" s="73"/>
      <c r="H106" s="73"/>
      <c r="I106" s="58"/>
      <c r="J106" s="74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</row>
    <row r="107" ht="23.25" customHeight="1" spans="1:25" x14ac:dyDescent="0.25">
      <c r="A107" s="72"/>
      <c r="B107" s="58"/>
      <c r="C107" s="72"/>
      <c r="D107" s="58"/>
      <c r="E107" s="58"/>
      <c r="F107" s="58"/>
      <c r="G107" s="73"/>
      <c r="H107" s="73"/>
      <c r="I107" s="58"/>
      <c r="J107" s="74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</row>
    <row r="108" ht="23.25" customHeight="1" spans="1:25" x14ac:dyDescent="0.25">
      <c r="A108" s="72"/>
      <c r="B108" s="58"/>
      <c r="C108" s="72"/>
      <c r="D108" s="58"/>
      <c r="E108" s="58"/>
      <c r="F108" s="58"/>
      <c r="G108" s="73"/>
      <c r="H108" s="73"/>
      <c r="I108" s="58"/>
      <c r="J108" s="74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</row>
    <row r="109" ht="23.25" customHeight="1" spans="1:25" x14ac:dyDescent="0.25">
      <c r="A109" s="72"/>
      <c r="B109" s="58"/>
      <c r="C109" s="72"/>
      <c r="D109" s="58"/>
      <c r="E109" s="58"/>
      <c r="F109" s="58"/>
      <c r="G109" s="73"/>
      <c r="H109" s="73"/>
      <c r="I109" s="58"/>
      <c r="J109" s="74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</row>
    <row r="110" ht="23.25" customHeight="1" spans="1:25" x14ac:dyDescent="0.25">
      <c r="A110" s="72"/>
      <c r="B110" s="58"/>
      <c r="C110" s="72"/>
      <c r="D110" s="58"/>
      <c r="E110" s="58"/>
      <c r="F110" s="58"/>
      <c r="G110" s="73"/>
      <c r="H110" s="73"/>
      <c r="I110" s="58"/>
      <c r="J110" s="74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</row>
    <row r="111" ht="23.25" customHeight="1" spans="1:25" x14ac:dyDescent="0.25">
      <c r="A111" s="72"/>
      <c r="B111" s="58"/>
      <c r="C111" s="72"/>
      <c r="D111" s="58"/>
      <c r="E111" s="58"/>
      <c r="F111" s="58"/>
      <c r="G111" s="73"/>
      <c r="H111" s="73"/>
      <c r="I111" s="58"/>
      <c r="J111" s="74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</row>
    <row r="112" ht="23.25" customHeight="1" spans="1:25" x14ac:dyDescent="0.25">
      <c r="A112" s="72"/>
      <c r="B112" s="58"/>
      <c r="C112" s="72"/>
      <c r="D112" s="58"/>
      <c r="E112" s="58"/>
      <c r="F112" s="58"/>
      <c r="G112" s="73"/>
      <c r="H112" s="73"/>
      <c r="I112" s="58"/>
      <c r="J112" s="74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</row>
    <row r="113" ht="23.25" customHeight="1" spans="1:25" x14ac:dyDescent="0.25">
      <c r="A113" s="72"/>
      <c r="B113" s="58"/>
      <c r="C113" s="72"/>
      <c r="D113" s="58"/>
      <c r="E113" s="58"/>
      <c r="F113" s="58"/>
      <c r="G113" s="73"/>
      <c r="H113" s="73"/>
      <c r="I113" s="58"/>
      <c r="J113" s="74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</row>
    <row r="114" ht="23.25" customHeight="1" spans="1:25" x14ac:dyDescent="0.25">
      <c r="A114" s="72"/>
      <c r="B114" s="58"/>
      <c r="C114" s="72"/>
      <c r="D114" s="58"/>
      <c r="E114" s="58"/>
      <c r="F114" s="58"/>
      <c r="G114" s="73"/>
      <c r="H114" s="73"/>
      <c r="I114" s="58"/>
      <c r="J114" s="74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</row>
    <row r="115" ht="23.25" customHeight="1" spans="1:25" x14ac:dyDescent="0.25">
      <c r="A115" s="72"/>
      <c r="B115" s="58"/>
      <c r="C115" s="72"/>
      <c r="D115" s="58"/>
      <c r="E115" s="58"/>
      <c r="F115" s="58"/>
      <c r="G115" s="73"/>
      <c r="H115" s="73"/>
      <c r="I115" s="58"/>
      <c r="J115" s="74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</row>
    <row r="116" ht="23.25" customHeight="1" spans="1:25" x14ac:dyDescent="0.25">
      <c r="A116" s="72"/>
      <c r="B116" s="58"/>
      <c r="C116" s="72"/>
      <c r="D116" s="58"/>
      <c r="E116" s="58"/>
      <c r="F116" s="58"/>
      <c r="G116" s="73"/>
      <c r="H116" s="73"/>
      <c r="I116" s="58"/>
      <c r="J116" s="74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</row>
    <row r="117" ht="23.25" customHeight="1" spans="1:25" x14ac:dyDescent="0.25">
      <c r="A117" s="72"/>
      <c r="B117" s="58"/>
      <c r="C117" s="72"/>
      <c r="D117" s="58"/>
      <c r="E117" s="58"/>
      <c r="F117" s="58"/>
      <c r="G117" s="73"/>
      <c r="H117" s="73"/>
      <c r="I117" s="58"/>
      <c r="J117" s="74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</row>
    <row r="118" ht="23.25" customHeight="1" spans="1:25" x14ac:dyDescent="0.25">
      <c r="A118" s="72"/>
      <c r="B118" s="58"/>
      <c r="C118" s="72"/>
      <c r="D118" s="58"/>
      <c r="E118" s="58"/>
      <c r="F118" s="58"/>
      <c r="G118" s="73"/>
      <c r="H118" s="73"/>
      <c r="I118" s="58"/>
      <c r="J118" s="74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</row>
    <row r="119" ht="23.25" customHeight="1" spans="1:25" x14ac:dyDescent="0.25">
      <c r="A119" s="72"/>
      <c r="B119" s="58"/>
      <c r="C119" s="72"/>
      <c r="D119" s="58"/>
      <c r="E119" s="58"/>
      <c r="F119" s="58"/>
      <c r="G119" s="73"/>
      <c r="H119" s="73"/>
      <c r="I119" s="58"/>
      <c r="J119" s="74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</row>
    <row r="120" ht="23.25" customHeight="1" spans="1:25" x14ac:dyDescent="0.25">
      <c r="A120" s="72"/>
      <c r="B120" s="58"/>
      <c r="C120" s="72"/>
      <c r="D120" s="58"/>
      <c r="E120" s="58"/>
      <c r="F120" s="58"/>
      <c r="G120" s="73"/>
      <c r="H120" s="73"/>
      <c r="I120" s="58"/>
      <c r="J120" s="74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</row>
    <row r="121" ht="23.25" customHeight="1" spans="1:25" x14ac:dyDescent="0.25">
      <c r="A121" s="72"/>
      <c r="B121" s="58"/>
      <c r="C121" s="72"/>
      <c r="D121" s="58"/>
      <c r="E121" s="58"/>
      <c r="F121" s="58"/>
      <c r="G121" s="73"/>
      <c r="H121" s="73"/>
      <c r="I121" s="58"/>
      <c r="J121" s="74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</row>
    <row r="122" ht="23.25" customHeight="1" spans="1:25" x14ac:dyDescent="0.25">
      <c r="A122" s="72"/>
      <c r="B122" s="58"/>
      <c r="C122" s="72"/>
      <c r="D122" s="58"/>
      <c r="E122" s="58"/>
      <c r="F122" s="58"/>
      <c r="G122" s="73"/>
      <c r="H122" s="73"/>
      <c r="I122" s="58"/>
      <c r="J122" s="74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</row>
    <row r="123" ht="23.25" customHeight="1" spans="1:25" x14ac:dyDescent="0.25">
      <c r="A123" s="72"/>
      <c r="B123" s="58"/>
      <c r="C123" s="72"/>
      <c r="D123" s="58"/>
      <c r="E123" s="58"/>
      <c r="F123" s="58"/>
      <c r="G123" s="73"/>
      <c r="H123" s="73"/>
      <c r="I123" s="58"/>
      <c r="J123" s="74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</row>
    <row r="124" ht="23.25" customHeight="1" spans="1:25" x14ac:dyDescent="0.25">
      <c r="A124" s="72"/>
      <c r="B124" s="58"/>
      <c r="C124" s="72"/>
      <c r="D124" s="58"/>
      <c r="E124" s="58"/>
      <c r="F124" s="58"/>
      <c r="G124" s="73"/>
      <c r="H124" s="73"/>
      <c r="I124" s="58"/>
      <c r="J124" s="74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</row>
    <row r="125" ht="23.25" customHeight="1" spans="1:25" x14ac:dyDescent="0.25">
      <c r="A125" s="72"/>
      <c r="B125" s="58"/>
      <c r="C125" s="72"/>
      <c r="D125" s="58"/>
      <c r="E125" s="58"/>
      <c r="F125" s="58"/>
      <c r="G125" s="73"/>
      <c r="H125" s="73"/>
      <c r="I125" s="58"/>
      <c r="J125" s="74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</row>
    <row r="126" ht="23.25" customHeight="1" spans="1:25" x14ac:dyDescent="0.25">
      <c r="A126" s="72"/>
      <c r="B126" s="58"/>
      <c r="C126" s="72"/>
      <c r="D126" s="58"/>
      <c r="E126" s="58"/>
      <c r="F126" s="58"/>
      <c r="G126" s="73"/>
      <c r="H126" s="73"/>
      <c r="I126" s="58"/>
      <c r="J126" s="74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</row>
    <row r="127" ht="23.25" customHeight="1" spans="1:25" x14ac:dyDescent="0.25">
      <c r="A127" s="72"/>
      <c r="B127" s="58"/>
      <c r="C127" s="72"/>
      <c r="D127" s="58"/>
      <c r="E127" s="58"/>
      <c r="F127" s="58"/>
      <c r="G127" s="73"/>
      <c r="H127" s="73"/>
      <c r="I127" s="58"/>
      <c r="J127" s="74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</row>
    <row r="128" ht="23.25" customHeight="1" spans="1:25" x14ac:dyDescent="0.25">
      <c r="A128" s="72"/>
      <c r="B128" s="58"/>
      <c r="C128" s="72"/>
      <c r="D128" s="58"/>
      <c r="E128" s="58"/>
      <c r="F128" s="58"/>
      <c r="G128" s="73"/>
      <c r="H128" s="73"/>
      <c r="I128" s="58"/>
      <c r="J128" s="74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</row>
    <row r="129" ht="23.25" customHeight="1" spans="1:25" x14ac:dyDescent="0.25">
      <c r="A129" s="72"/>
      <c r="B129" s="58"/>
      <c r="C129" s="72"/>
      <c r="D129" s="58"/>
      <c r="E129" s="58"/>
      <c r="F129" s="58"/>
      <c r="G129" s="73"/>
      <c r="H129" s="73"/>
      <c r="I129" s="58"/>
      <c r="J129" s="74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</row>
    <row r="130" ht="23.25" customHeight="1" spans="1:25" x14ac:dyDescent="0.25">
      <c r="A130" s="72"/>
      <c r="B130" s="58"/>
      <c r="C130" s="72"/>
      <c r="D130" s="58"/>
      <c r="E130" s="58"/>
      <c r="F130" s="58"/>
      <c r="G130" s="73"/>
      <c r="H130" s="73"/>
      <c r="I130" s="58"/>
      <c r="J130" s="74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</row>
    <row r="131" ht="23.25" customHeight="1" spans="1:25" x14ac:dyDescent="0.25">
      <c r="A131" s="72"/>
      <c r="B131" s="58"/>
      <c r="C131" s="72"/>
      <c r="D131" s="58"/>
      <c r="E131" s="58"/>
      <c r="F131" s="58"/>
      <c r="G131" s="73"/>
      <c r="H131" s="73"/>
      <c r="I131" s="58"/>
      <c r="J131" s="74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</row>
    <row r="132" ht="23.25" customHeight="1" spans="1:25" x14ac:dyDescent="0.25">
      <c r="A132" s="72"/>
      <c r="B132" s="58"/>
      <c r="C132" s="72"/>
      <c r="D132" s="58"/>
      <c r="E132" s="58"/>
      <c r="F132" s="58"/>
      <c r="G132" s="73"/>
      <c r="H132" s="73"/>
      <c r="I132" s="58"/>
      <c r="J132" s="74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</row>
    <row r="133" ht="23.25" customHeight="1" spans="1:25" x14ac:dyDescent="0.25">
      <c r="A133" s="72"/>
      <c r="B133" s="58"/>
      <c r="C133" s="72"/>
      <c r="D133" s="58"/>
      <c r="E133" s="58"/>
      <c r="F133" s="58"/>
      <c r="G133" s="73"/>
      <c r="H133" s="73"/>
      <c r="I133" s="58"/>
      <c r="J133" s="74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</row>
    <row r="134" ht="23.25" customHeight="1" spans="1:25" x14ac:dyDescent="0.25">
      <c r="A134" s="72"/>
      <c r="B134" s="58"/>
      <c r="C134" s="72"/>
      <c r="D134" s="58"/>
      <c r="E134" s="58"/>
      <c r="F134" s="58"/>
      <c r="G134" s="73"/>
      <c r="H134" s="73"/>
      <c r="I134" s="58"/>
      <c r="J134" s="74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</row>
    <row r="135" ht="23.25" customHeight="1" spans="1:25" x14ac:dyDescent="0.25">
      <c r="A135" s="72"/>
      <c r="B135" s="58"/>
      <c r="C135" s="72"/>
      <c r="D135" s="58"/>
      <c r="E135" s="58"/>
      <c r="F135" s="58"/>
      <c r="G135" s="73"/>
      <c r="H135" s="73"/>
      <c r="I135" s="58"/>
      <c r="J135" s="74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</row>
    <row r="136" ht="23.25" customHeight="1" spans="1:25" x14ac:dyDescent="0.25">
      <c r="A136" s="72"/>
      <c r="B136" s="58"/>
      <c r="C136" s="72"/>
      <c r="D136" s="58"/>
      <c r="E136" s="58"/>
      <c r="F136" s="58"/>
      <c r="G136" s="73"/>
      <c r="H136" s="73"/>
      <c r="I136" s="58"/>
      <c r="J136" s="74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</row>
    <row r="137" ht="23.25" customHeight="1" spans="1:25" x14ac:dyDescent="0.25">
      <c r="A137" s="72"/>
      <c r="B137" s="58"/>
      <c r="C137" s="72"/>
      <c r="D137" s="58"/>
      <c r="E137" s="58"/>
      <c r="F137" s="58"/>
      <c r="G137" s="73"/>
      <c r="H137" s="73"/>
      <c r="I137" s="58"/>
      <c r="J137" s="74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</row>
    <row r="138" ht="23.25" customHeight="1" spans="1:25" x14ac:dyDescent="0.25">
      <c r="A138" s="72"/>
      <c r="B138" s="58"/>
      <c r="C138" s="72"/>
      <c r="D138" s="58"/>
      <c r="E138" s="58"/>
      <c r="F138" s="58"/>
      <c r="G138" s="73"/>
      <c r="H138" s="73"/>
      <c r="I138" s="58"/>
      <c r="J138" s="74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</row>
    <row r="139" ht="23.25" customHeight="1" spans="1:25" x14ac:dyDescent="0.25">
      <c r="A139" s="72"/>
      <c r="B139" s="58"/>
      <c r="C139" s="72"/>
      <c r="D139" s="58"/>
      <c r="E139" s="58"/>
      <c r="F139" s="58"/>
      <c r="G139" s="73"/>
      <c r="H139" s="73"/>
      <c r="I139" s="58"/>
      <c r="J139" s="74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</row>
    <row r="140" ht="23.25" customHeight="1" spans="1:25" x14ac:dyDescent="0.25">
      <c r="A140" s="72"/>
      <c r="B140" s="58"/>
      <c r="C140" s="72"/>
      <c r="D140" s="58"/>
      <c r="E140" s="58"/>
      <c r="F140" s="58"/>
      <c r="G140" s="73"/>
      <c r="H140" s="73"/>
      <c r="I140" s="58"/>
      <c r="J140" s="74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</row>
    <row r="141" ht="23.25" customHeight="1" spans="1:25" x14ac:dyDescent="0.25">
      <c r="A141" s="72"/>
      <c r="B141" s="58"/>
      <c r="C141" s="72"/>
      <c r="D141" s="58"/>
      <c r="E141" s="58"/>
      <c r="F141" s="58"/>
      <c r="G141" s="73"/>
      <c r="H141" s="73"/>
      <c r="I141" s="58"/>
      <c r="J141" s="74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</row>
    <row r="142" ht="23.25" customHeight="1" spans="1:25" x14ac:dyDescent="0.25">
      <c r="A142" s="72"/>
      <c r="B142" s="58"/>
      <c r="C142" s="72"/>
      <c r="D142" s="58"/>
      <c r="E142" s="58"/>
      <c r="F142" s="58"/>
      <c r="G142" s="73"/>
      <c r="H142" s="73"/>
      <c r="I142" s="58"/>
      <c r="J142" s="74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</row>
    <row r="143" ht="23.25" customHeight="1" spans="1:25" x14ac:dyDescent="0.25">
      <c r="A143" s="72"/>
      <c r="B143" s="58"/>
      <c r="C143" s="72"/>
      <c r="D143" s="58"/>
      <c r="E143" s="58"/>
      <c r="F143" s="58"/>
      <c r="G143" s="73"/>
      <c r="H143" s="73"/>
      <c r="I143" s="58"/>
      <c r="J143" s="74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</row>
    <row r="144" ht="23.25" customHeight="1" spans="1:25" x14ac:dyDescent="0.25">
      <c r="A144" s="72"/>
      <c r="B144" s="58"/>
      <c r="C144" s="72"/>
      <c r="D144" s="58"/>
      <c r="E144" s="58"/>
      <c r="F144" s="58"/>
      <c r="G144" s="73"/>
      <c r="H144" s="73"/>
      <c r="I144" s="58"/>
      <c r="J144" s="74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</row>
    <row r="145" ht="23.25" customHeight="1" spans="1:25" x14ac:dyDescent="0.25">
      <c r="A145" s="72"/>
      <c r="B145" s="58"/>
      <c r="C145" s="72"/>
      <c r="D145" s="58"/>
      <c r="E145" s="58"/>
      <c r="F145" s="58"/>
      <c r="G145" s="73"/>
      <c r="H145" s="73"/>
      <c r="I145" s="58"/>
      <c r="J145" s="74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</row>
    <row r="146" ht="23.25" customHeight="1" spans="1:25" x14ac:dyDescent="0.25">
      <c r="A146" s="72"/>
      <c r="B146" s="58"/>
      <c r="C146" s="72"/>
      <c r="D146" s="58"/>
      <c r="E146" s="58"/>
      <c r="F146" s="58"/>
      <c r="G146" s="73"/>
      <c r="H146" s="73"/>
      <c r="I146" s="58"/>
      <c r="J146" s="74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</row>
    <row r="147" ht="23.25" customHeight="1" spans="1:25" x14ac:dyDescent="0.25">
      <c r="A147" s="72"/>
      <c r="B147" s="58"/>
      <c r="C147" s="72"/>
      <c r="D147" s="58"/>
      <c r="E147" s="58"/>
      <c r="F147" s="58"/>
      <c r="G147" s="73"/>
      <c r="H147" s="73"/>
      <c r="I147" s="58"/>
      <c r="J147" s="74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</row>
    <row r="148" ht="23.25" customHeight="1" spans="1:25" x14ac:dyDescent="0.25">
      <c r="A148" s="72"/>
      <c r="B148" s="58"/>
      <c r="C148" s="72"/>
      <c r="D148" s="58"/>
      <c r="E148" s="58"/>
      <c r="F148" s="58"/>
      <c r="G148" s="73"/>
      <c r="H148" s="73"/>
      <c r="I148" s="58"/>
      <c r="J148" s="74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</row>
    <row r="149" ht="23.25" customHeight="1" spans="1:25" x14ac:dyDescent="0.25">
      <c r="A149" s="72"/>
      <c r="B149" s="58"/>
      <c r="C149" s="72"/>
      <c r="D149" s="58"/>
      <c r="E149" s="58"/>
      <c r="F149" s="58"/>
      <c r="G149" s="73"/>
      <c r="H149" s="73"/>
      <c r="I149" s="58"/>
      <c r="J149" s="74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</row>
    <row r="150" ht="23.25" customHeight="1" spans="1:25" x14ac:dyDescent="0.25">
      <c r="A150" s="72"/>
      <c r="B150" s="58"/>
      <c r="C150" s="72"/>
      <c r="D150" s="58"/>
      <c r="E150" s="58"/>
      <c r="F150" s="58"/>
      <c r="G150" s="73"/>
      <c r="H150" s="73"/>
      <c r="I150" s="58"/>
      <c r="J150" s="74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</row>
    <row r="151" ht="23.25" customHeight="1" spans="1:25" x14ac:dyDescent="0.25">
      <c r="A151" s="72"/>
      <c r="B151" s="58"/>
      <c r="C151" s="72"/>
      <c r="D151" s="58"/>
      <c r="E151" s="58"/>
      <c r="F151" s="58"/>
      <c r="G151" s="73"/>
      <c r="H151" s="73"/>
      <c r="I151" s="58"/>
      <c r="J151" s="74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</row>
    <row r="152" ht="23.25" customHeight="1" spans="1:25" x14ac:dyDescent="0.25">
      <c r="A152" s="72"/>
      <c r="B152" s="58"/>
      <c r="C152" s="72"/>
      <c r="D152" s="58"/>
      <c r="E152" s="58"/>
      <c r="F152" s="58"/>
      <c r="G152" s="73"/>
      <c r="H152" s="73"/>
      <c r="I152" s="58"/>
      <c r="J152" s="74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</row>
    <row r="153" ht="23.25" customHeight="1" spans="1:25" x14ac:dyDescent="0.25">
      <c r="A153" s="72"/>
      <c r="B153" s="58"/>
      <c r="C153" s="72"/>
      <c r="D153" s="58"/>
      <c r="E153" s="58"/>
      <c r="F153" s="58"/>
      <c r="G153" s="73"/>
      <c r="H153" s="73"/>
      <c r="I153" s="58"/>
      <c r="J153" s="74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</row>
    <row r="154" ht="23.25" customHeight="1" spans="1:25" x14ac:dyDescent="0.25">
      <c r="A154" s="72"/>
      <c r="B154" s="58"/>
      <c r="C154" s="72"/>
      <c r="D154" s="58"/>
      <c r="E154" s="58"/>
      <c r="F154" s="58"/>
      <c r="G154" s="73"/>
      <c r="H154" s="73"/>
      <c r="I154" s="58"/>
      <c r="J154" s="74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</row>
    <row r="155" ht="23.25" customHeight="1" spans="1:25" x14ac:dyDescent="0.25">
      <c r="A155" s="72"/>
      <c r="B155" s="58"/>
      <c r="C155" s="72"/>
      <c r="D155" s="58"/>
      <c r="E155" s="58"/>
      <c r="F155" s="58"/>
      <c r="G155" s="73"/>
      <c r="H155" s="73"/>
      <c r="I155" s="58"/>
      <c r="J155" s="74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</row>
    <row r="156" ht="23.25" customHeight="1" spans="1:25" x14ac:dyDescent="0.25">
      <c r="A156" s="72"/>
      <c r="B156" s="58"/>
      <c r="C156" s="72"/>
      <c r="D156" s="58"/>
      <c r="E156" s="58"/>
      <c r="F156" s="58"/>
      <c r="G156" s="73"/>
      <c r="H156" s="73"/>
      <c r="I156" s="58"/>
      <c r="J156" s="74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</row>
    <row r="157" ht="23.25" customHeight="1" spans="1:25" x14ac:dyDescent="0.25">
      <c r="A157" s="72"/>
      <c r="B157" s="58"/>
      <c r="C157" s="72"/>
      <c r="D157" s="58"/>
      <c r="E157" s="58"/>
      <c r="F157" s="58"/>
      <c r="G157" s="73"/>
      <c r="H157" s="73"/>
      <c r="I157" s="58"/>
      <c r="J157" s="74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</row>
    <row r="158" ht="23.25" customHeight="1" spans="1:25" x14ac:dyDescent="0.25">
      <c r="A158" s="72"/>
      <c r="B158" s="58"/>
      <c r="C158" s="72"/>
      <c r="D158" s="58"/>
      <c r="E158" s="58"/>
      <c r="F158" s="58"/>
      <c r="G158" s="73"/>
      <c r="H158" s="73"/>
      <c r="I158" s="58"/>
      <c r="J158" s="74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</row>
    <row r="159" ht="23.25" customHeight="1" spans="1:25" x14ac:dyDescent="0.25">
      <c r="A159" s="72"/>
      <c r="B159" s="58"/>
      <c r="C159" s="72"/>
      <c r="D159" s="58"/>
      <c r="E159" s="58"/>
      <c r="F159" s="58"/>
      <c r="G159" s="73"/>
      <c r="H159" s="73"/>
      <c r="I159" s="58"/>
      <c r="J159" s="74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</row>
    <row r="160" ht="23.25" customHeight="1" spans="1:25" x14ac:dyDescent="0.25">
      <c r="A160" s="72"/>
      <c r="B160" s="58"/>
      <c r="C160" s="72"/>
      <c r="D160" s="58"/>
      <c r="E160" s="58"/>
      <c r="F160" s="58"/>
      <c r="G160" s="73"/>
      <c r="H160" s="73"/>
      <c r="I160" s="58"/>
      <c r="J160" s="74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</row>
    <row r="161" ht="23.25" customHeight="1" spans="1:25" x14ac:dyDescent="0.25">
      <c r="A161" s="72"/>
      <c r="B161" s="58"/>
      <c r="C161" s="72"/>
      <c r="D161" s="58"/>
      <c r="E161" s="58"/>
      <c r="F161" s="58"/>
      <c r="G161" s="73"/>
      <c r="H161" s="73"/>
      <c r="I161" s="58"/>
      <c r="J161" s="74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</row>
    <row r="162" ht="23.25" customHeight="1" spans="1:25" x14ac:dyDescent="0.25">
      <c r="A162" s="72"/>
      <c r="B162" s="58"/>
      <c r="C162" s="72"/>
      <c r="D162" s="58"/>
      <c r="E162" s="58"/>
      <c r="F162" s="58"/>
      <c r="G162" s="73"/>
      <c r="H162" s="73"/>
      <c r="I162" s="58"/>
      <c r="J162" s="74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</row>
    <row r="163" ht="23.25" customHeight="1" spans="1:25" x14ac:dyDescent="0.25">
      <c r="A163" s="72"/>
      <c r="B163" s="58"/>
      <c r="C163" s="72"/>
      <c r="D163" s="58"/>
      <c r="E163" s="58"/>
      <c r="F163" s="58"/>
      <c r="G163" s="73"/>
      <c r="H163" s="73"/>
      <c r="I163" s="58"/>
      <c r="J163" s="74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</row>
    <row r="164" ht="23.25" customHeight="1" spans="1:25" x14ac:dyDescent="0.25">
      <c r="A164" s="72"/>
      <c r="B164" s="58"/>
      <c r="C164" s="72"/>
      <c r="D164" s="58"/>
      <c r="E164" s="58"/>
      <c r="F164" s="58"/>
      <c r="G164" s="73"/>
      <c r="H164" s="73"/>
      <c r="I164" s="58"/>
      <c r="J164" s="74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</row>
    <row r="165" ht="23.25" customHeight="1" spans="1:25" x14ac:dyDescent="0.25">
      <c r="A165" s="72"/>
      <c r="B165" s="58"/>
      <c r="C165" s="72"/>
      <c r="D165" s="58"/>
      <c r="E165" s="58"/>
      <c r="F165" s="58"/>
      <c r="G165" s="73"/>
      <c r="H165" s="73"/>
      <c r="I165" s="58"/>
      <c r="J165" s="74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</row>
    <row r="166" ht="23.25" customHeight="1" spans="1:25" x14ac:dyDescent="0.25">
      <c r="A166" s="72"/>
      <c r="B166" s="58"/>
      <c r="C166" s="72"/>
      <c r="D166" s="58"/>
      <c r="E166" s="58"/>
      <c r="F166" s="58"/>
      <c r="G166" s="73"/>
      <c r="H166" s="73"/>
      <c r="I166" s="58"/>
      <c r="J166" s="74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</row>
    <row r="167" ht="23.25" customHeight="1" spans="1:25" x14ac:dyDescent="0.25">
      <c r="A167" s="72"/>
      <c r="B167" s="58"/>
      <c r="C167" s="72"/>
      <c r="D167" s="58"/>
      <c r="E167" s="58"/>
      <c r="F167" s="58"/>
      <c r="G167" s="73"/>
      <c r="H167" s="73"/>
      <c r="I167" s="58"/>
      <c r="J167" s="74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</row>
    <row r="168" ht="23.25" customHeight="1" spans="1:25" x14ac:dyDescent="0.25">
      <c r="A168" s="72"/>
      <c r="B168" s="58"/>
      <c r="C168" s="72"/>
      <c r="D168" s="58"/>
      <c r="E168" s="58"/>
      <c r="F168" s="58"/>
      <c r="G168" s="73"/>
      <c r="H168" s="73"/>
      <c r="I168" s="58"/>
      <c r="J168" s="74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</row>
    <row r="169" ht="23.25" customHeight="1" spans="1:25" x14ac:dyDescent="0.25">
      <c r="A169" s="72"/>
      <c r="B169" s="58"/>
      <c r="C169" s="72"/>
      <c r="D169" s="58"/>
      <c r="E169" s="58"/>
      <c r="F169" s="58"/>
      <c r="G169" s="73"/>
      <c r="H169" s="73"/>
      <c r="I169" s="58"/>
      <c r="J169" s="74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</row>
    <row r="170" ht="23.25" customHeight="1" spans="1:25" x14ac:dyDescent="0.25">
      <c r="A170" s="72"/>
      <c r="B170" s="58"/>
      <c r="C170" s="72"/>
      <c r="D170" s="58"/>
      <c r="E170" s="58"/>
      <c r="F170" s="58"/>
      <c r="G170" s="73"/>
      <c r="H170" s="73"/>
      <c r="I170" s="58"/>
      <c r="J170" s="74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</row>
    <row r="171" ht="23.25" customHeight="1" spans="1:25" x14ac:dyDescent="0.25">
      <c r="A171" s="72"/>
      <c r="B171" s="58"/>
      <c r="C171" s="72"/>
      <c r="D171" s="58"/>
      <c r="E171" s="58"/>
      <c r="F171" s="58"/>
      <c r="G171" s="73"/>
      <c r="H171" s="73"/>
      <c r="I171" s="58"/>
      <c r="J171" s="74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</row>
    <row r="172" ht="23.25" customHeight="1" spans="1:25" x14ac:dyDescent="0.25">
      <c r="A172" s="72"/>
      <c r="B172" s="58"/>
      <c r="C172" s="72"/>
      <c r="D172" s="58"/>
      <c r="E172" s="58"/>
      <c r="F172" s="58"/>
      <c r="G172" s="73"/>
      <c r="H172" s="73"/>
      <c r="I172" s="58"/>
      <c r="J172" s="74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</row>
    <row r="173" ht="23.25" customHeight="1" spans="1:25" x14ac:dyDescent="0.25">
      <c r="A173" s="72"/>
      <c r="B173" s="58"/>
      <c r="C173" s="72"/>
      <c r="D173" s="58"/>
      <c r="E173" s="58"/>
      <c r="F173" s="58"/>
      <c r="G173" s="73"/>
      <c r="H173" s="73"/>
      <c r="I173" s="58"/>
      <c r="J173" s="74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</row>
    <row r="174" ht="23.25" customHeight="1" spans="1:25" x14ac:dyDescent="0.25">
      <c r="A174" s="72"/>
      <c r="B174" s="58"/>
      <c r="C174" s="72"/>
      <c r="D174" s="58"/>
      <c r="E174" s="58"/>
      <c r="F174" s="58"/>
      <c r="G174" s="73"/>
      <c r="H174" s="73"/>
      <c r="I174" s="58"/>
      <c r="J174" s="74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</row>
    <row r="175" ht="23.25" customHeight="1" spans="1:25" x14ac:dyDescent="0.25">
      <c r="A175" s="72"/>
      <c r="B175" s="58"/>
      <c r="C175" s="72"/>
      <c r="D175" s="58"/>
      <c r="E175" s="58"/>
      <c r="F175" s="58"/>
      <c r="G175" s="73"/>
      <c r="H175" s="73"/>
      <c r="I175" s="58"/>
      <c r="J175" s="74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</row>
    <row r="176" ht="23.25" customHeight="1" spans="1:25" x14ac:dyDescent="0.25">
      <c r="A176" s="72"/>
      <c r="B176" s="58"/>
      <c r="C176" s="72"/>
      <c r="D176" s="58"/>
      <c r="E176" s="58"/>
      <c r="F176" s="58"/>
      <c r="G176" s="73"/>
      <c r="H176" s="73"/>
      <c r="I176" s="58"/>
      <c r="J176" s="74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</row>
    <row r="177" ht="23.25" customHeight="1" spans="1:25" x14ac:dyDescent="0.25">
      <c r="A177" s="72"/>
      <c r="B177" s="58"/>
      <c r="C177" s="72"/>
      <c r="D177" s="58"/>
      <c r="E177" s="58"/>
      <c r="F177" s="58"/>
      <c r="G177" s="73"/>
      <c r="H177" s="73"/>
      <c r="I177" s="58"/>
      <c r="J177" s="74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</row>
    <row r="178" ht="23.25" customHeight="1" spans="1:25" x14ac:dyDescent="0.25">
      <c r="A178" s="72"/>
      <c r="B178" s="58"/>
      <c r="C178" s="72"/>
      <c r="D178" s="58"/>
      <c r="E178" s="58"/>
      <c r="F178" s="58"/>
      <c r="G178" s="73"/>
      <c r="H178" s="73"/>
      <c r="I178" s="58"/>
      <c r="J178" s="74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</row>
    <row r="179" ht="23.25" customHeight="1" spans="1:25" x14ac:dyDescent="0.25">
      <c r="A179" s="72"/>
      <c r="B179" s="58"/>
      <c r="C179" s="72"/>
      <c r="D179" s="58"/>
      <c r="E179" s="58"/>
      <c r="F179" s="58"/>
      <c r="G179" s="73"/>
      <c r="H179" s="73"/>
      <c r="I179" s="58"/>
      <c r="J179" s="74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</row>
    <row r="180" ht="23.25" customHeight="1" spans="1:25" x14ac:dyDescent="0.25">
      <c r="A180" s="72"/>
      <c r="B180" s="58"/>
      <c r="C180" s="72"/>
      <c r="D180" s="58"/>
      <c r="E180" s="58"/>
      <c r="F180" s="58"/>
      <c r="G180" s="73"/>
      <c r="H180" s="73"/>
      <c r="I180" s="58"/>
      <c r="J180" s="74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</row>
    <row r="181" ht="23.25" customHeight="1" spans="1:25" x14ac:dyDescent="0.25">
      <c r="A181" s="72"/>
      <c r="B181" s="58"/>
      <c r="C181" s="72"/>
      <c r="D181" s="58"/>
      <c r="E181" s="58"/>
      <c r="F181" s="58"/>
      <c r="G181" s="73"/>
      <c r="H181" s="73"/>
      <c r="I181" s="58"/>
      <c r="J181" s="74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</row>
    <row r="182" ht="23.25" customHeight="1" spans="1:25" x14ac:dyDescent="0.25">
      <c r="A182" s="72"/>
      <c r="B182" s="58"/>
      <c r="C182" s="72"/>
      <c r="D182" s="58"/>
      <c r="E182" s="58"/>
      <c r="F182" s="58"/>
      <c r="G182" s="73"/>
      <c r="H182" s="73"/>
      <c r="I182" s="58"/>
      <c r="J182" s="74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</row>
    <row r="183" ht="23.25" customHeight="1" spans="1:25" x14ac:dyDescent="0.25">
      <c r="A183" s="72"/>
      <c r="B183" s="58"/>
      <c r="C183" s="72"/>
      <c r="D183" s="58"/>
      <c r="E183" s="58"/>
      <c r="F183" s="58"/>
      <c r="G183" s="73"/>
      <c r="H183" s="73"/>
      <c r="I183" s="58"/>
      <c r="J183" s="74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</row>
    <row r="184" ht="23.25" customHeight="1" spans="1:25" x14ac:dyDescent="0.25">
      <c r="A184" s="72"/>
      <c r="B184" s="58"/>
      <c r="C184" s="72"/>
      <c r="D184" s="58"/>
      <c r="E184" s="58"/>
      <c r="F184" s="58"/>
      <c r="G184" s="73"/>
      <c r="H184" s="73"/>
      <c r="I184" s="58"/>
      <c r="J184" s="74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</row>
    <row r="185" ht="23.25" customHeight="1" spans="1:25" x14ac:dyDescent="0.25">
      <c r="A185" s="72"/>
      <c r="B185" s="58"/>
      <c r="C185" s="72"/>
      <c r="D185" s="58"/>
      <c r="E185" s="58"/>
      <c r="F185" s="58"/>
      <c r="G185" s="73"/>
      <c r="H185" s="73"/>
      <c r="I185" s="58"/>
      <c r="J185" s="74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</row>
    <row r="186" ht="23.25" customHeight="1" spans="1:25" x14ac:dyDescent="0.25">
      <c r="A186" s="72"/>
      <c r="B186" s="58"/>
      <c r="C186" s="72"/>
      <c r="D186" s="58"/>
      <c r="E186" s="58"/>
      <c r="F186" s="58"/>
      <c r="G186" s="73"/>
      <c r="H186" s="73"/>
      <c r="I186" s="58"/>
      <c r="J186" s="74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</row>
    <row r="187" ht="23.25" customHeight="1" spans="1:25" x14ac:dyDescent="0.25">
      <c r="A187" s="72"/>
      <c r="B187" s="58"/>
      <c r="C187" s="72"/>
      <c r="D187" s="58"/>
      <c r="E187" s="58"/>
      <c r="F187" s="58"/>
      <c r="G187" s="73"/>
      <c r="H187" s="73"/>
      <c r="I187" s="58"/>
      <c r="J187" s="74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</row>
    <row r="188" ht="23.25" customHeight="1" spans="1:25" x14ac:dyDescent="0.25">
      <c r="A188" s="72"/>
      <c r="B188" s="58"/>
      <c r="C188" s="72"/>
      <c r="D188" s="58"/>
      <c r="E188" s="58"/>
      <c r="F188" s="58"/>
      <c r="G188" s="73"/>
      <c r="H188" s="73"/>
      <c r="I188" s="58"/>
      <c r="J188" s="74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</row>
    <row r="189" ht="23.25" customHeight="1" spans="1:25" x14ac:dyDescent="0.25">
      <c r="A189" s="72"/>
      <c r="B189" s="58"/>
      <c r="C189" s="72"/>
      <c r="D189" s="58"/>
      <c r="E189" s="58"/>
      <c r="F189" s="58"/>
      <c r="G189" s="73"/>
      <c r="H189" s="73"/>
      <c r="I189" s="58"/>
      <c r="J189" s="74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</row>
    <row r="190" ht="23.25" customHeight="1" spans="1:25" x14ac:dyDescent="0.25">
      <c r="A190" s="72"/>
      <c r="B190" s="58"/>
      <c r="C190" s="72"/>
      <c r="D190" s="58"/>
      <c r="E190" s="58"/>
      <c r="F190" s="58"/>
      <c r="G190" s="73"/>
      <c r="H190" s="73"/>
      <c r="I190" s="58"/>
      <c r="J190" s="74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</row>
    <row r="191" ht="23.25" customHeight="1" spans="1:25" x14ac:dyDescent="0.25">
      <c r="A191" s="72"/>
      <c r="B191" s="58"/>
      <c r="C191" s="72"/>
      <c r="D191" s="58"/>
      <c r="E191" s="58"/>
      <c r="F191" s="58"/>
      <c r="G191" s="73"/>
      <c r="H191" s="73"/>
      <c r="I191" s="58"/>
      <c r="J191" s="74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</row>
    <row r="192" ht="23.25" customHeight="1" spans="1:25" x14ac:dyDescent="0.25">
      <c r="A192" s="72"/>
      <c r="B192" s="58"/>
      <c r="C192" s="72"/>
      <c r="D192" s="58"/>
      <c r="E192" s="58"/>
      <c r="F192" s="58"/>
      <c r="G192" s="73"/>
      <c r="H192" s="73"/>
      <c r="I192" s="58"/>
      <c r="J192" s="74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</row>
    <row r="193" ht="23.25" customHeight="1" spans="1:25" x14ac:dyDescent="0.25">
      <c r="A193" s="72"/>
      <c r="B193" s="58"/>
      <c r="C193" s="72"/>
      <c r="D193" s="58"/>
      <c r="E193" s="58"/>
      <c r="F193" s="58"/>
      <c r="G193" s="73"/>
      <c r="H193" s="73"/>
      <c r="I193" s="58"/>
      <c r="J193" s="74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</row>
    <row r="194" ht="23.25" customHeight="1" spans="1:25" x14ac:dyDescent="0.25">
      <c r="A194" s="72"/>
      <c r="B194" s="58"/>
      <c r="C194" s="72"/>
      <c r="D194" s="58"/>
      <c r="E194" s="58"/>
      <c r="F194" s="58"/>
      <c r="G194" s="73"/>
      <c r="H194" s="73"/>
      <c r="I194" s="58"/>
      <c r="J194" s="74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</row>
    <row r="195" ht="23.25" customHeight="1" spans="1:25" x14ac:dyDescent="0.25">
      <c r="A195" s="72"/>
      <c r="B195" s="58"/>
      <c r="C195" s="72"/>
      <c r="D195" s="58"/>
      <c r="E195" s="58"/>
      <c r="F195" s="58"/>
      <c r="G195" s="73"/>
      <c r="H195" s="73"/>
      <c r="I195" s="58"/>
      <c r="J195" s="74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</row>
    <row r="196" ht="23.25" customHeight="1" spans="1:25" x14ac:dyDescent="0.25">
      <c r="A196" s="72"/>
      <c r="B196" s="58"/>
      <c r="C196" s="72"/>
      <c r="D196" s="58"/>
      <c r="E196" s="58"/>
      <c r="F196" s="58"/>
      <c r="G196" s="73"/>
      <c r="H196" s="73"/>
      <c r="I196" s="58"/>
      <c r="J196" s="74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</row>
    <row r="197" ht="23.25" customHeight="1" spans="1:25" x14ac:dyDescent="0.25">
      <c r="A197" s="72"/>
      <c r="B197" s="58"/>
      <c r="C197" s="72"/>
      <c r="D197" s="58"/>
      <c r="E197" s="58"/>
      <c r="F197" s="58"/>
      <c r="G197" s="73"/>
      <c r="H197" s="73"/>
      <c r="I197" s="58"/>
      <c r="J197" s="74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</row>
    <row r="198" ht="23.25" customHeight="1" spans="1:25" x14ac:dyDescent="0.25">
      <c r="A198" s="72"/>
      <c r="B198" s="58"/>
      <c r="C198" s="72"/>
      <c r="D198" s="58"/>
      <c r="E198" s="58"/>
      <c r="F198" s="58"/>
      <c r="G198" s="73"/>
      <c r="H198" s="73"/>
      <c r="I198" s="58"/>
      <c r="J198" s="74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</row>
    <row r="199" ht="23.25" customHeight="1" spans="1:25" x14ac:dyDescent="0.25">
      <c r="A199" s="72"/>
      <c r="B199" s="58"/>
      <c r="C199" s="72"/>
      <c r="D199" s="58"/>
      <c r="E199" s="58"/>
      <c r="F199" s="58"/>
      <c r="G199" s="73"/>
      <c r="H199" s="73"/>
      <c r="I199" s="58"/>
      <c r="J199" s="74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</row>
    <row r="200" ht="23.25" customHeight="1" spans="1:25" x14ac:dyDescent="0.25">
      <c r="A200" s="72"/>
      <c r="B200" s="58"/>
      <c r="C200" s="72"/>
      <c r="D200" s="58"/>
      <c r="E200" s="58"/>
      <c r="F200" s="58"/>
      <c r="G200" s="73"/>
      <c r="H200" s="73"/>
      <c r="I200" s="58"/>
      <c r="J200" s="74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</row>
    <row r="201" ht="23.25" customHeight="1" spans="1:25" x14ac:dyDescent="0.25">
      <c r="A201" s="72"/>
      <c r="B201" s="58"/>
      <c r="C201" s="72"/>
      <c r="D201" s="58"/>
      <c r="E201" s="58"/>
      <c r="F201" s="58"/>
      <c r="G201" s="73"/>
      <c r="H201" s="73"/>
      <c r="I201" s="58"/>
      <c r="J201" s="74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</row>
    <row r="202" ht="23.25" customHeight="1" spans="1:25" x14ac:dyDescent="0.25">
      <c r="A202" s="72"/>
      <c r="B202" s="58"/>
      <c r="C202" s="72"/>
      <c r="D202" s="58"/>
      <c r="E202" s="58"/>
      <c r="F202" s="58"/>
      <c r="G202" s="73"/>
      <c r="H202" s="73"/>
      <c r="I202" s="58"/>
      <c r="J202" s="74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</row>
    <row r="203" ht="23.25" customHeight="1" spans="1:25" x14ac:dyDescent="0.25">
      <c r="A203" s="72"/>
      <c r="B203" s="58"/>
      <c r="C203" s="72"/>
      <c r="D203" s="58"/>
      <c r="E203" s="58"/>
      <c r="F203" s="58"/>
      <c r="G203" s="73"/>
      <c r="H203" s="73"/>
      <c r="I203" s="58"/>
      <c r="J203" s="74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</row>
    <row r="204" ht="23.25" customHeight="1" spans="1:25" x14ac:dyDescent="0.25">
      <c r="A204" s="72"/>
      <c r="B204" s="58"/>
      <c r="C204" s="72"/>
      <c r="D204" s="58"/>
      <c r="E204" s="58"/>
      <c r="F204" s="58"/>
      <c r="G204" s="73"/>
      <c r="H204" s="73"/>
      <c r="I204" s="58"/>
      <c r="J204" s="74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</row>
    <row r="205" ht="23.25" customHeight="1" spans="1:25" x14ac:dyDescent="0.25">
      <c r="A205" s="72"/>
      <c r="B205" s="58"/>
      <c r="C205" s="72"/>
      <c r="D205" s="58"/>
      <c r="E205" s="58"/>
      <c r="F205" s="58"/>
      <c r="G205" s="73"/>
      <c r="H205" s="73"/>
      <c r="I205" s="58"/>
      <c r="J205" s="74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</row>
    <row r="206" ht="23.25" customHeight="1" spans="1:25" x14ac:dyDescent="0.25">
      <c r="A206" s="72"/>
      <c r="B206" s="58"/>
      <c r="C206" s="72"/>
      <c r="D206" s="58"/>
      <c r="E206" s="58"/>
      <c r="F206" s="58"/>
      <c r="G206" s="73"/>
      <c r="H206" s="73"/>
      <c r="I206" s="58"/>
      <c r="J206" s="74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</row>
    <row r="207" ht="23.25" customHeight="1" spans="1:25" x14ac:dyDescent="0.25">
      <c r="A207" s="72"/>
      <c r="B207" s="58"/>
      <c r="C207" s="72"/>
      <c r="D207" s="58"/>
      <c r="E207" s="58"/>
      <c r="F207" s="58"/>
      <c r="G207" s="73"/>
      <c r="H207" s="73"/>
      <c r="I207" s="58"/>
      <c r="J207" s="74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</row>
    <row r="208" ht="23.25" customHeight="1" spans="1:25" x14ac:dyDescent="0.25">
      <c r="A208" s="72"/>
      <c r="B208" s="58"/>
      <c r="C208" s="72"/>
      <c r="D208" s="58"/>
      <c r="E208" s="58"/>
      <c r="F208" s="58"/>
      <c r="G208" s="73"/>
      <c r="H208" s="73"/>
      <c r="I208" s="58"/>
      <c r="J208" s="74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</row>
    <row r="209" ht="23.25" customHeight="1" spans="1:25" x14ac:dyDescent="0.25">
      <c r="A209" s="72"/>
      <c r="B209" s="58"/>
      <c r="C209" s="72"/>
      <c r="D209" s="58"/>
      <c r="E209" s="58"/>
      <c r="F209" s="58"/>
      <c r="G209" s="73"/>
      <c r="H209" s="73"/>
      <c r="I209" s="58"/>
      <c r="J209" s="74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</row>
    <row r="210" ht="23.25" customHeight="1" spans="1:25" x14ac:dyDescent="0.25">
      <c r="A210" s="72"/>
      <c r="B210" s="58"/>
      <c r="C210" s="72"/>
      <c r="D210" s="58"/>
      <c r="E210" s="58"/>
      <c r="F210" s="58"/>
      <c r="G210" s="73"/>
      <c r="H210" s="73"/>
      <c r="I210" s="58"/>
      <c r="J210" s="74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</row>
    <row r="211" ht="23.25" customHeight="1" spans="1:25" x14ac:dyDescent="0.25">
      <c r="A211" s="72"/>
      <c r="B211" s="58"/>
      <c r="C211" s="72"/>
      <c r="D211" s="58"/>
      <c r="E211" s="58"/>
      <c r="F211" s="58"/>
      <c r="G211" s="73"/>
      <c r="H211" s="73"/>
      <c r="I211" s="58"/>
      <c r="J211" s="74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</row>
    <row r="212" ht="23.25" customHeight="1" spans="1:25" x14ac:dyDescent="0.25">
      <c r="A212" s="72"/>
      <c r="B212" s="58"/>
      <c r="C212" s="72"/>
      <c r="D212" s="58"/>
      <c r="E212" s="58"/>
      <c r="F212" s="58"/>
      <c r="G212" s="73"/>
      <c r="H212" s="73"/>
      <c r="I212" s="58"/>
      <c r="J212" s="74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</row>
    <row r="213" ht="23.25" customHeight="1" spans="1:25" x14ac:dyDescent="0.25">
      <c r="A213" s="72"/>
      <c r="B213" s="58"/>
      <c r="C213" s="72"/>
      <c r="D213" s="58"/>
      <c r="E213" s="58"/>
      <c r="F213" s="58"/>
      <c r="G213" s="73"/>
      <c r="H213" s="73"/>
      <c r="I213" s="58"/>
      <c r="J213" s="74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</row>
    <row r="214" ht="23.25" customHeight="1" spans="1:25" x14ac:dyDescent="0.25">
      <c r="A214" s="72"/>
      <c r="B214" s="58"/>
      <c r="C214" s="72"/>
      <c r="D214" s="58"/>
      <c r="E214" s="58"/>
      <c r="F214" s="58"/>
      <c r="G214" s="73"/>
      <c r="H214" s="73"/>
      <c r="I214" s="58"/>
      <c r="J214" s="74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</row>
    <row r="215" ht="23.25" customHeight="1" spans="1:25" x14ac:dyDescent="0.25">
      <c r="A215" s="72"/>
      <c r="B215" s="58"/>
      <c r="C215" s="72"/>
      <c r="D215" s="58"/>
      <c r="E215" s="58"/>
      <c r="F215" s="58"/>
      <c r="G215" s="73"/>
      <c r="H215" s="73"/>
      <c r="I215" s="58"/>
      <c r="J215" s="74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</row>
    <row r="216" ht="23.25" customHeight="1" spans="1:25" x14ac:dyDescent="0.25">
      <c r="A216" s="72"/>
      <c r="B216" s="58"/>
      <c r="C216" s="72"/>
      <c r="D216" s="58"/>
      <c r="E216" s="58"/>
      <c r="F216" s="58"/>
      <c r="G216" s="73"/>
      <c r="H216" s="73"/>
      <c r="I216" s="58"/>
      <c r="J216" s="74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</row>
    <row r="217" ht="23.25" customHeight="1" spans="1:25" x14ac:dyDescent="0.25">
      <c r="A217" s="72"/>
      <c r="B217" s="58"/>
      <c r="C217" s="72"/>
      <c r="D217" s="58"/>
      <c r="E217" s="58"/>
      <c r="F217" s="58"/>
      <c r="G217" s="73"/>
      <c r="H217" s="73"/>
      <c r="I217" s="58"/>
      <c r="J217" s="74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</row>
    <row r="218" ht="23.25" customHeight="1" spans="1:25" x14ac:dyDescent="0.25">
      <c r="A218" s="72"/>
      <c r="B218" s="58"/>
      <c r="C218" s="72"/>
      <c r="D218" s="58"/>
      <c r="E218" s="58"/>
      <c r="F218" s="58"/>
      <c r="G218" s="73"/>
      <c r="H218" s="73"/>
      <c r="I218" s="58"/>
      <c r="J218" s="74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</row>
    <row r="219" ht="23.25" customHeight="1" spans="1:25" x14ac:dyDescent="0.25">
      <c r="A219" s="72"/>
      <c r="B219" s="58"/>
      <c r="C219" s="72"/>
      <c r="D219" s="58"/>
      <c r="E219" s="58"/>
      <c r="F219" s="58"/>
      <c r="G219" s="73"/>
      <c r="H219" s="73"/>
      <c r="I219" s="58"/>
      <c r="J219" s="74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</row>
    <row r="220" ht="23.25" customHeight="1" spans="1:25" x14ac:dyDescent="0.25">
      <c r="A220" s="72"/>
      <c r="B220" s="58"/>
      <c r="C220" s="72"/>
      <c r="D220" s="58"/>
      <c r="E220" s="58"/>
      <c r="F220" s="58"/>
      <c r="G220" s="73"/>
      <c r="H220" s="73"/>
      <c r="I220" s="58"/>
      <c r="J220" s="74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</row>
    <row r="221" ht="23.25" customHeight="1" spans="1:25" x14ac:dyDescent="0.25">
      <c r="A221" s="72"/>
      <c r="B221" s="58"/>
      <c r="C221" s="72"/>
      <c r="D221" s="58"/>
      <c r="E221" s="58"/>
      <c r="F221" s="58"/>
      <c r="G221" s="73"/>
      <c r="H221" s="73"/>
      <c r="I221" s="58"/>
      <c r="J221" s="74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</row>
    <row r="222" ht="23.25" customHeight="1" spans="1:25" x14ac:dyDescent="0.25">
      <c r="A222" s="72"/>
      <c r="B222" s="58"/>
      <c r="C222" s="72"/>
      <c r="D222" s="58"/>
      <c r="E222" s="58"/>
      <c r="F222" s="58"/>
      <c r="G222" s="73"/>
      <c r="H222" s="73"/>
      <c r="I222" s="58"/>
      <c r="J222" s="74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</row>
    <row r="223" ht="23.25" customHeight="1" spans="1:25" x14ac:dyDescent="0.25">
      <c r="A223" s="72"/>
      <c r="B223" s="58"/>
      <c r="C223" s="72"/>
      <c r="D223" s="58"/>
      <c r="E223" s="58"/>
      <c r="F223" s="58"/>
      <c r="G223" s="73"/>
      <c r="H223" s="73"/>
      <c r="I223" s="58"/>
      <c r="J223" s="74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</row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7">
    <mergeCell ref="A1:O1"/>
    <mergeCell ref="A2:D2"/>
    <mergeCell ref="E2:O2"/>
    <mergeCell ref="A3:D3"/>
    <mergeCell ref="E3:O3"/>
    <mergeCell ref="A4:D4"/>
    <mergeCell ref="E4:O4"/>
  </mergeCells>
  <dataValidations count="2">
    <dataValidation type="list" allowBlank="1" showErrorMessage="1" sqref="B10:B124">
      <formula1>Nombres</formula1>
    </dataValidation>
    <dataValidation type="list" allowBlank="1" showErrorMessage="1" sqref="B7:B124">
      <formula1>Nombres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5"/>
  <sheetViews>
    <sheetView workbookViewId="0" zoomScale="100" zoomScaleNormal="100">
      <selection activeCell="G12" sqref="G12"/>
    </sheetView>
  </sheetViews>
  <sheetFormatPr defaultRowHeight="15" outlineLevelRow="0" outlineLevelCol="0" x14ac:dyDescent="0.2" defaultColWidth="14.5"/>
  <cols>
    <col min="1" max="1" width="5" customWidth="1"/>
    <col min="2" max="2" width="12" style="99" customWidth="1"/>
    <col min="3" max="3" width="27.33203125" customWidth="1"/>
    <col min="4" max="4" width="19.33203125" customWidth="1"/>
    <col min="5" max="5" width="15.83203125" style="99" customWidth="1"/>
    <col min="6" max="6" width="15.83203125" customWidth="1"/>
    <col min="7" max="7" width="16.33203125" customWidth="1"/>
    <col min="8" max="8" width="29.5" style="99" customWidth="1"/>
    <col min="9" max="11" width="11.6640625" style="99" customWidth="1"/>
    <col min="12" max="12" width="29.5" style="99" customWidth="1"/>
    <col min="13" max="13" width="14.33203125" style="99" customWidth="1"/>
    <col min="14" max="14" width="21.83203125" style="99" customWidth="1"/>
    <col min="15" max="15" width="32.5" customWidth="1"/>
    <col min="16" max="16" width="47.33203125" customWidth="1"/>
    <col min="17" max="26" width="11.33203125" customWidth="1"/>
    <col min="27" max="16384" width="14.5" customWidth="1"/>
  </cols>
  <sheetData>
    <row r="1" ht="27.75" customHeight="1" spans="1:26" x14ac:dyDescent="0.25">
      <c r="A1" s="58"/>
      <c r="B1" s="100" t="s">
        <v>22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21.75" customHeight="1" spans="1:26" x14ac:dyDescent="0.25">
      <c r="A2" s="58"/>
      <c r="B2" s="101" t="s">
        <v>12</v>
      </c>
      <c r="C2" s="60"/>
      <c r="D2" s="60"/>
      <c r="E2" s="61"/>
      <c r="F2" s="102" t="s">
        <v>13</v>
      </c>
      <c r="G2" s="103"/>
      <c r="H2" s="103"/>
      <c r="I2" s="103"/>
      <c r="J2" s="103"/>
      <c r="K2" s="103"/>
      <c r="L2" s="103"/>
      <c r="M2" s="103"/>
      <c r="N2" s="103"/>
      <c r="O2" s="103"/>
      <c r="P2" s="104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21.75" customHeight="1" spans="1:26" x14ac:dyDescent="0.25">
      <c r="A3" s="58"/>
      <c r="B3" s="105" t="s">
        <v>14</v>
      </c>
      <c r="C3" s="64"/>
      <c r="D3" s="64"/>
      <c r="E3" s="65"/>
      <c r="F3" s="106" t="s">
        <v>15</v>
      </c>
      <c r="G3" s="107"/>
      <c r="H3" s="107"/>
      <c r="I3" s="107"/>
      <c r="J3" s="107"/>
      <c r="K3" s="107"/>
      <c r="L3" s="107"/>
      <c r="M3" s="107"/>
      <c r="N3" s="107"/>
      <c r="O3" s="107"/>
      <c r="P3" s="10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21.75" customHeight="1" spans="1:26" x14ac:dyDescent="0.25">
      <c r="A4" s="58"/>
      <c r="B4" s="101" t="s">
        <v>16</v>
      </c>
      <c r="C4" s="60"/>
      <c r="D4" s="60"/>
      <c r="E4" s="61"/>
      <c r="F4" s="109" t="s">
        <v>17</v>
      </c>
      <c r="G4" s="110"/>
      <c r="H4" s="110"/>
      <c r="I4" s="110"/>
      <c r="J4" s="110"/>
      <c r="K4" s="110"/>
      <c r="L4" s="110"/>
      <c r="M4" s="110"/>
      <c r="N4" s="110"/>
      <c r="O4" s="110"/>
      <c r="P4" s="111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5" customHeight="1" spans="1:26" x14ac:dyDescent="0.25">
      <c r="A5" s="58"/>
      <c r="B5" s="72"/>
      <c r="C5" s="58"/>
      <c r="D5" s="58"/>
      <c r="E5" s="72"/>
      <c r="F5" s="58"/>
      <c r="G5" s="74"/>
      <c r="H5" s="112"/>
      <c r="I5" s="112"/>
      <c r="J5" s="112"/>
      <c r="K5" s="112"/>
      <c r="L5" s="112"/>
      <c r="M5" s="72"/>
      <c r="N5" s="72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5" customHeight="1" spans="1:26" x14ac:dyDescent="0.25">
      <c r="A6" s="58"/>
      <c r="B6" s="72"/>
      <c r="C6" s="58"/>
      <c r="D6" s="58"/>
      <c r="E6" s="72"/>
      <c r="F6" s="58"/>
      <c r="G6" s="74"/>
      <c r="H6" s="112"/>
      <c r="I6" s="112"/>
      <c r="J6" s="112"/>
      <c r="K6" s="112"/>
      <c r="L6" s="112"/>
      <c r="M6" s="72"/>
      <c r="N6" s="72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43" customHeight="1" spans="1:26" x14ac:dyDescent="0.25">
      <c r="A7" s="58"/>
      <c r="B7" s="113" t="s">
        <v>18</v>
      </c>
      <c r="C7" s="114" t="s">
        <v>23</v>
      </c>
      <c r="D7" s="115" t="s">
        <v>24</v>
      </c>
      <c r="E7" s="116" t="s">
        <v>19</v>
      </c>
      <c r="F7" s="116" t="s">
        <v>20</v>
      </c>
      <c r="G7" s="117" t="s">
        <v>25</v>
      </c>
      <c r="H7" s="118" t="s">
        <v>26</v>
      </c>
      <c r="I7" s="116" t="s">
        <v>27</v>
      </c>
      <c r="J7" s="116" t="s">
        <v>3</v>
      </c>
      <c r="K7" s="116" t="s">
        <v>4</v>
      </c>
      <c r="L7" s="116" t="s">
        <v>28</v>
      </c>
      <c r="M7" s="116" t="s">
        <v>29</v>
      </c>
      <c r="N7" s="116" t="s">
        <v>30</v>
      </c>
      <c r="O7" s="114" t="s">
        <v>9</v>
      </c>
      <c r="P7" s="114" t="s">
        <v>10</v>
      </c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30" customHeight="1" spans="1:26" s="119" customFormat="1" x14ac:dyDescent="0.25">
      <c r="A8" s="54"/>
      <c r="B8" s="120"/>
      <c r="C8" s="121"/>
      <c r="D8" s="120"/>
      <c r="E8" s="122"/>
      <c r="F8" s="123"/>
      <c r="G8" s="124"/>
      <c r="H8" s="125"/>
      <c r="I8" s="126"/>
      <c r="J8" s="127"/>
      <c r="K8" s="128"/>
      <c r="L8" s="129"/>
      <c r="M8" s="130"/>
      <c r="N8" s="131"/>
      <c r="O8" s="132"/>
      <c r="P8" s="133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30" customHeight="1" spans="1:26" s="119" customFormat="1" x14ac:dyDescent="0.25">
      <c r="A9" s="54"/>
      <c r="B9" s="134"/>
      <c r="C9" s="135"/>
      <c r="D9" s="134"/>
      <c r="E9" s="122"/>
      <c r="F9" s="136"/>
      <c r="G9" s="137"/>
      <c r="H9" s="138"/>
      <c r="I9" s="139"/>
      <c r="J9" s="140"/>
      <c r="K9" s="141"/>
      <c r="L9" s="129"/>
      <c r="M9" s="142"/>
      <c r="N9" s="143"/>
      <c r="O9" s="144"/>
      <c r="P9" s="145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30" customHeight="1" spans="1:26" s="119" customFormat="1" x14ac:dyDescent="0.25">
      <c r="A10" s="54"/>
      <c r="B10" s="134"/>
      <c r="C10" s="135"/>
      <c r="D10" s="134"/>
      <c r="E10" s="122"/>
      <c r="F10" s="136"/>
      <c r="G10" s="137"/>
      <c r="H10" s="138"/>
      <c r="I10" s="139"/>
      <c r="J10" s="146"/>
      <c r="K10" s="141"/>
      <c r="L10" s="147"/>
      <c r="M10" s="142"/>
      <c r="N10" s="143"/>
      <c r="O10" s="148"/>
      <c r="P10" s="145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30" customHeight="1" spans="1:26" s="119" customFormat="1" x14ac:dyDescent="0.25">
      <c r="A11" s="54"/>
      <c r="B11" s="134"/>
      <c r="C11" s="135"/>
      <c r="D11" s="134"/>
      <c r="E11" s="122"/>
      <c r="F11" s="136"/>
      <c r="G11" s="137"/>
      <c r="H11" s="138"/>
      <c r="I11" s="139"/>
      <c r="J11" s="146"/>
      <c r="K11" s="141"/>
      <c r="L11" s="147"/>
      <c r="M11" s="142"/>
      <c r="N11" s="143"/>
      <c r="O11" s="148"/>
      <c r="P11" s="145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30" customHeight="1" spans="1:26" s="119" customFormat="1" x14ac:dyDescent="0.25">
      <c r="A12" s="54"/>
      <c r="B12" s="134"/>
      <c r="C12" s="135"/>
      <c r="D12" s="134"/>
      <c r="E12" s="122"/>
      <c r="F12" s="136"/>
      <c r="G12" s="137"/>
      <c r="H12" s="138"/>
      <c r="I12" s="139"/>
      <c r="J12" s="146"/>
      <c r="K12" s="141"/>
      <c r="L12" s="147"/>
      <c r="M12" s="142"/>
      <c r="N12" s="143"/>
      <c r="O12" s="148"/>
      <c r="P12" s="145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30" customHeight="1" spans="1:26" s="119" customFormat="1" x14ac:dyDescent="0.25">
      <c r="A13" s="54"/>
      <c r="B13" s="149"/>
      <c r="C13" s="150"/>
      <c r="D13" s="151"/>
      <c r="E13" s="122"/>
      <c r="F13" s="123"/>
      <c r="G13" s="152"/>
      <c r="H13" s="153"/>
      <c r="I13" s="126"/>
      <c r="J13" s="154"/>
      <c r="K13" s="128"/>
      <c r="L13" s="147"/>
      <c r="M13" s="142"/>
      <c r="N13" s="155"/>
      <c r="O13" s="156"/>
      <c r="P13" s="157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30" customHeight="1" spans="1:26" s="119" customFormat="1" x14ac:dyDescent="0.25">
      <c r="A14" s="54"/>
      <c r="B14" s="158"/>
      <c r="C14" s="159"/>
      <c r="D14" s="160"/>
      <c r="E14" s="122"/>
      <c r="F14" s="123"/>
      <c r="G14" s="152"/>
      <c r="H14" s="161"/>
      <c r="I14" s="162"/>
      <c r="J14" s="140"/>
      <c r="K14" s="141"/>
      <c r="L14" s="163"/>
      <c r="M14" s="164"/>
      <c r="N14" s="165"/>
      <c r="O14" s="166"/>
      <c r="P14" s="167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5.75" customHeight="1" spans="1:26" x14ac:dyDescent="0.25">
      <c r="A15" s="58"/>
      <c r="B15" s="72"/>
      <c r="C15" s="58"/>
      <c r="D15" s="58"/>
      <c r="E15" s="72"/>
      <c r="F15" s="58"/>
      <c r="G15" s="74"/>
      <c r="H15" s="112"/>
      <c r="I15" s="112"/>
      <c r="J15" s="112"/>
      <c r="K15" s="112"/>
      <c r="L15" s="112"/>
      <c r="M15" s="72"/>
      <c r="N15" s="72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15.75" customHeight="1" spans="1:26" x14ac:dyDescent="0.25">
      <c r="A16" s="58"/>
      <c r="B16" s="72"/>
      <c r="C16" s="58"/>
      <c r="D16" s="58"/>
      <c r="E16" s="168"/>
      <c r="F16" s="168"/>
      <c r="G16" s="74"/>
      <c r="H16" s="112"/>
      <c r="I16" s="112"/>
      <c r="J16" s="112"/>
      <c r="K16" s="112"/>
      <c r="L16" s="112"/>
      <c r="M16" s="72"/>
      <c r="N16" s="72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15.75" customHeight="1" spans="1:26" x14ac:dyDescent="0.25">
      <c r="A17" s="58"/>
      <c r="B17" s="72"/>
      <c r="C17" s="58"/>
      <c r="D17" s="58"/>
      <c r="E17" s="168"/>
      <c r="F17" s="168"/>
      <c r="G17" s="74"/>
      <c r="H17" s="112"/>
      <c r="I17" s="112"/>
      <c r="J17" s="112"/>
      <c r="K17" s="112"/>
      <c r="L17" s="112"/>
      <c r="M17" s="72"/>
      <c r="N17" s="72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5.75" customHeight="1" spans="1:26" x14ac:dyDescent="0.25">
      <c r="A18" s="58"/>
      <c r="B18" s="72"/>
      <c r="C18" s="58"/>
      <c r="D18" s="58"/>
      <c r="E18" s="72"/>
      <c r="F18" s="58"/>
      <c r="G18" s="74"/>
      <c r="H18" s="112"/>
      <c r="I18" s="112"/>
      <c r="J18" s="112"/>
      <c r="K18" s="112"/>
      <c r="L18" s="112"/>
      <c r="M18" s="72"/>
      <c r="N18" s="72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15.75" customHeight="1" spans="1:26" x14ac:dyDescent="0.25">
      <c r="A19" s="58"/>
      <c r="B19" s="72"/>
      <c r="C19" s="58"/>
      <c r="D19" s="58"/>
      <c r="E19" s="72"/>
      <c r="F19" s="58"/>
      <c r="G19" s="74"/>
      <c r="H19" s="112"/>
      <c r="I19" s="112"/>
      <c r="J19" s="112"/>
      <c r="K19" s="112"/>
      <c r="L19" s="112"/>
      <c r="M19" s="72"/>
      <c r="N19" s="72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5.75" customHeight="1" spans="1:26" x14ac:dyDescent="0.25">
      <c r="A20" s="58"/>
      <c r="B20" s="72"/>
      <c r="C20" s="58"/>
      <c r="D20" s="58"/>
      <c r="E20" s="72"/>
      <c r="F20" s="58"/>
      <c r="G20" s="74"/>
      <c r="H20" s="112"/>
      <c r="I20" s="112"/>
      <c r="J20" s="112"/>
      <c r="K20" s="112"/>
      <c r="L20" s="112"/>
      <c r="M20" s="72"/>
      <c r="N20" s="72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5.75" customHeight="1" spans="1:26" x14ac:dyDescent="0.25">
      <c r="A21" s="58"/>
      <c r="B21" s="72"/>
      <c r="C21" s="58"/>
      <c r="D21" s="58"/>
      <c r="E21" s="72"/>
      <c r="F21" s="58"/>
      <c r="G21" s="74"/>
      <c r="H21" s="112"/>
      <c r="I21" s="112"/>
      <c r="J21" s="112"/>
      <c r="K21" s="112"/>
      <c r="L21" s="112"/>
      <c r="M21" s="72"/>
      <c r="N21" s="72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5.75" customHeight="1" spans="1:26" x14ac:dyDescent="0.25">
      <c r="A22" s="58"/>
      <c r="B22" s="72"/>
      <c r="C22" s="58"/>
      <c r="D22" s="58"/>
      <c r="E22" s="72"/>
      <c r="F22" s="58"/>
      <c r="G22" s="74"/>
      <c r="H22" s="112"/>
      <c r="I22" s="112"/>
      <c r="J22" s="112"/>
      <c r="K22" s="112"/>
      <c r="L22" s="112"/>
      <c r="M22" s="72"/>
      <c r="N22" s="72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5.75" customHeight="1" spans="1:26" x14ac:dyDescent="0.25">
      <c r="A23" s="58"/>
      <c r="B23" s="72"/>
      <c r="C23" s="58"/>
      <c r="D23" s="58"/>
      <c r="E23" s="72"/>
      <c r="F23" s="58"/>
      <c r="G23" s="74"/>
      <c r="H23" s="112"/>
      <c r="I23" s="112"/>
      <c r="J23" s="112"/>
      <c r="K23" s="112"/>
      <c r="L23" s="112"/>
      <c r="M23" s="72"/>
      <c r="N23" s="72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5.75" customHeight="1" spans="1:26" x14ac:dyDescent="0.25">
      <c r="A24" s="58"/>
      <c r="B24" s="72"/>
      <c r="C24" s="58"/>
      <c r="D24" s="58"/>
      <c r="E24" s="72"/>
      <c r="F24" s="58"/>
      <c r="G24" s="74"/>
      <c r="H24" s="112"/>
      <c r="I24" s="112"/>
      <c r="J24" s="112"/>
      <c r="K24" s="112"/>
      <c r="L24" s="112"/>
      <c r="M24" s="72"/>
      <c r="N24" s="72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5.75" customHeight="1" spans="1:26" x14ac:dyDescent="0.25">
      <c r="A25" s="58"/>
      <c r="B25" s="72"/>
      <c r="C25" s="58"/>
      <c r="D25" s="58"/>
      <c r="E25" s="72"/>
      <c r="F25" s="58"/>
      <c r="G25" s="74"/>
      <c r="H25" s="112"/>
      <c r="I25" s="112"/>
      <c r="J25" s="112"/>
      <c r="K25" s="112"/>
      <c r="L25" s="112"/>
      <c r="M25" s="72"/>
      <c r="N25" s="72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5.75" customHeight="1" spans="1:26" x14ac:dyDescent="0.25">
      <c r="A26" s="58"/>
      <c r="B26" s="72"/>
      <c r="C26" s="58"/>
      <c r="D26" s="58"/>
      <c r="E26" s="72"/>
      <c r="F26" s="58"/>
      <c r="G26" s="74"/>
      <c r="H26" s="112"/>
      <c r="I26" s="112"/>
      <c r="J26" s="112"/>
      <c r="K26" s="112"/>
      <c r="L26" s="112"/>
      <c r="M26" s="72"/>
      <c r="N26" s="72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5.75" customHeight="1" spans="1:26" x14ac:dyDescent="0.25">
      <c r="A27" s="58"/>
      <c r="B27" s="72"/>
      <c r="C27" s="58"/>
      <c r="D27" s="58"/>
      <c r="E27" s="72"/>
      <c r="F27" s="58"/>
      <c r="G27" s="74"/>
      <c r="H27" s="112"/>
      <c r="I27" s="112"/>
      <c r="J27" s="112"/>
      <c r="K27" s="112"/>
      <c r="L27" s="112"/>
      <c r="M27" s="72"/>
      <c r="N27" s="72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5.75" customHeight="1" spans="1:26" x14ac:dyDescent="0.25">
      <c r="A28" s="58"/>
      <c r="B28" s="72"/>
      <c r="C28" s="58"/>
      <c r="D28" s="58"/>
      <c r="E28" s="72"/>
      <c r="F28" s="58"/>
      <c r="G28" s="74"/>
      <c r="H28" s="112"/>
      <c r="I28" s="112"/>
      <c r="J28" s="112"/>
      <c r="K28" s="112"/>
      <c r="L28" s="112"/>
      <c r="M28" s="72"/>
      <c r="N28" s="72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5.75" customHeight="1" spans="1:26" x14ac:dyDescent="0.25">
      <c r="A29" s="58"/>
      <c r="B29" s="72"/>
      <c r="C29" s="58"/>
      <c r="D29" s="58"/>
      <c r="E29" s="72"/>
      <c r="F29" s="58"/>
      <c r="G29" s="74"/>
      <c r="H29" s="112"/>
      <c r="I29" s="112"/>
      <c r="J29" s="112"/>
      <c r="K29" s="112"/>
      <c r="L29" s="112"/>
      <c r="M29" s="72"/>
      <c r="N29" s="72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5.75" customHeight="1" spans="1:26" x14ac:dyDescent="0.25">
      <c r="A30" s="58"/>
      <c r="B30" s="72"/>
      <c r="C30" s="58"/>
      <c r="D30" s="58"/>
      <c r="E30" s="72"/>
      <c r="F30" s="58"/>
      <c r="G30" s="74"/>
      <c r="H30" s="112"/>
      <c r="I30" s="112"/>
      <c r="J30" s="112"/>
      <c r="K30" s="112"/>
      <c r="L30" s="112"/>
      <c r="M30" s="72"/>
      <c r="N30" s="72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5.75" customHeight="1" spans="1:26" x14ac:dyDescent="0.25">
      <c r="A31" s="58"/>
      <c r="B31" s="72"/>
      <c r="C31" s="58"/>
      <c r="D31" s="58"/>
      <c r="E31" s="72"/>
      <c r="F31" s="58"/>
      <c r="G31" s="74"/>
      <c r="H31" s="112"/>
      <c r="I31" s="112"/>
      <c r="J31" s="112"/>
      <c r="K31" s="112"/>
      <c r="L31" s="112"/>
      <c r="M31" s="72"/>
      <c r="N31" s="72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5.75" customHeight="1" spans="1:26" x14ac:dyDescent="0.25">
      <c r="A32" s="58"/>
      <c r="B32" s="72"/>
      <c r="C32" s="58"/>
      <c r="D32" s="58"/>
      <c r="E32" s="72"/>
      <c r="F32" s="58"/>
      <c r="G32" s="74"/>
      <c r="H32" s="112"/>
      <c r="I32" s="112"/>
      <c r="J32" s="112"/>
      <c r="K32" s="112"/>
      <c r="L32" s="112"/>
      <c r="M32" s="72"/>
      <c r="N32" s="72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5.75" customHeight="1" spans="1:26" x14ac:dyDescent="0.25">
      <c r="A33" s="58"/>
      <c r="B33" s="72"/>
      <c r="C33" s="58"/>
      <c r="D33" s="58"/>
      <c r="E33" s="72"/>
      <c r="F33" s="58"/>
      <c r="G33" s="74"/>
      <c r="H33" s="112"/>
      <c r="I33" s="112"/>
      <c r="J33" s="112"/>
      <c r="K33" s="112"/>
      <c r="L33" s="112"/>
      <c r="M33" s="72"/>
      <c r="N33" s="72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5.75" customHeight="1" spans="1:26" x14ac:dyDescent="0.25">
      <c r="A34" s="58"/>
      <c r="B34" s="72"/>
      <c r="C34" s="58"/>
      <c r="D34" s="58"/>
      <c r="E34" s="72"/>
      <c r="F34" s="58"/>
      <c r="G34" s="74"/>
      <c r="H34" s="112"/>
      <c r="I34" s="112"/>
      <c r="J34" s="112"/>
      <c r="K34" s="112"/>
      <c r="L34" s="112"/>
      <c r="M34" s="72"/>
      <c r="N34" s="72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5.75" customHeight="1" spans="1:26" x14ac:dyDescent="0.25">
      <c r="A35" s="58"/>
      <c r="B35" s="72"/>
      <c r="C35" s="58"/>
      <c r="D35" s="58"/>
      <c r="E35" s="72"/>
      <c r="F35" s="58"/>
      <c r="G35" s="74"/>
      <c r="H35" s="112"/>
      <c r="I35" s="112"/>
      <c r="J35" s="112"/>
      <c r="K35" s="112"/>
      <c r="L35" s="112"/>
      <c r="M35" s="72"/>
      <c r="N35" s="72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5.75" customHeight="1" spans="1:26" x14ac:dyDescent="0.25">
      <c r="A36" s="58"/>
      <c r="B36" s="72"/>
      <c r="C36" s="58"/>
      <c r="D36" s="58"/>
      <c r="E36" s="72"/>
      <c r="F36" s="58"/>
      <c r="G36" s="74"/>
      <c r="H36" s="112"/>
      <c r="I36" s="112"/>
      <c r="J36" s="112"/>
      <c r="K36" s="112"/>
      <c r="L36" s="112"/>
      <c r="M36" s="72"/>
      <c r="N36" s="72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5.75" customHeight="1" spans="1:26" x14ac:dyDescent="0.25">
      <c r="A37" s="58"/>
      <c r="B37" s="72"/>
      <c r="C37" s="58"/>
      <c r="D37" s="58"/>
      <c r="E37" s="72"/>
      <c r="F37" s="58"/>
      <c r="G37" s="74"/>
      <c r="H37" s="112"/>
      <c r="I37" s="112"/>
      <c r="J37" s="112"/>
      <c r="K37" s="112"/>
      <c r="L37" s="112"/>
      <c r="M37" s="72"/>
      <c r="N37" s="72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5.75" customHeight="1" spans="1:26" x14ac:dyDescent="0.25">
      <c r="A38" s="58"/>
      <c r="B38" s="72"/>
      <c r="C38" s="58"/>
      <c r="D38" s="58"/>
      <c r="E38" s="72"/>
      <c r="F38" s="58"/>
      <c r="G38" s="74"/>
      <c r="H38" s="112"/>
      <c r="I38" s="112"/>
      <c r="J38" s="112"/>
      <c r="K38" s="112"/>
      <c r="L38" s="112"/>
      <c r="M38" s="72"/>
      <c r="N38" s="72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5.75" customHeight="1" spans="1:26" x14ac:dyDescent="0.25">
      <c r="A39" s="58"/>
      <c r="B39" s="72"/>
      <c r="C39" s="58"/>
      <c r="D39" s="58"/>
      <c r="E39" s="72"/>
      <c r="F39" s="58"/>
      <c r="G39" s="74"/>
      <c r="H39" s="112"/>
      <c r="I39" s="112"/>
      <c r="J39" s="112"/>
      <c r="K39" s="112"/>
      <c r="L39" s="112"/>
      <c r="M39" s="72"/>
      <c r="N39" s="72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5.75" customHeight="1" spans="1:26" x14ac:dyDescent="0.25">
      <c r="A40" s="58"/>
      <c r="B40" s="72"/>
      <c r="C40" s="58"/>
      <c r="D40" s="58"/>
      <c r="E40" s="72"/>
      <c r="F40" s="58"/>
      <c r="G40" s="74"/>
      <c r="H40" s="112"/>
      <c r="I40" s="112"/>
      <c r="J40" s="112"/>
      <c r="K40" s="112"/>
      <c r="L40" s="112"/>
      <c r="M40" s="72"/>
      <c r="N40" s="72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5.75" customHeight="1" spans="1:26" x14ac:dyDescent="0.25">
      <c r="A41" s="58"/>
      <c r="B41" s="72"/>
      <c r="C41" s="58"/>
      <c r="D41" s="58"/>
      <c r="E41" s="72"/>
      <c r="F41" s="58"/>
      <c r="G41" s="74"/>
      <c r="H41" s="112"/>
      <c r="I41" s="112"/>
      <c r="J41" s="112"/>
      <c r="K41" s="112"/>
      <c r="L41" s="112"/>
      <c r="M41" s="72"/>
      <c r="N41" s="72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5.75" customHeight="1" spans="1:26" x14ac:dyDescent="0.25">
      <c r="A42" s="58"/>
      <c r="B42" s="72"/>
      <c r="C42" s="58"/>
      <c r="D42" s="58"/>
      <c r="E42" s="72"/>
      <c r="F42" s="58"/>
      <c r="G42" s="74"/>
      <c r="H42" s="112"/>
      <c r="I42" s="112"/>
      <c r="J42" s="112"/>
      <c r="K42" s="112"/>
      <c r="L42" s="112"/>
      <c r="M42" s="72"/>
      <c r="N42" s="72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5.75" customHeight="1" spans="1:26" x14ac:dyDescent="0.25">
      <c r="A43" s="58"/>
      <c r="B43" s="72"/>
      <c r="C43" s="58"/>
      <c r="D43" s="58"/>
      <c r="E43" s="72"/>
      <c r="F43" s="58"/>
      <c r="G43" s="74"/>
      <c r="H43" s="112"/>
      <c r="I43" s="112"/>
      <c r="J43" s="112"/>
      <c r="K43" s="112"/>
      <c r="L43" s="112"/>
      <c r="M43" s="72"/>
      <c r="N43" s="72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5.75" customHeight="1" spans="1:26" x14ac:dyDescent="0.25">
      <c r="A44" s="58"/>
      <c r="B44" s="72"/>
      <c r="C44" s="58"/>
      <c r="D44" s="58"/>
      <c r="E44" s="72"/>
      <c r="F44" s="58"/>
      <c r="G44" s="74"/>
      <c r="H44" s="112"/>
      <c r="I44" s="112"/>
      <c r="J44" s="112"/>
      <c r="K44" s="112"/>
      <c r="L44" s="112"/>
      <c r="M44" s="72"/>
      <c r="N44" s="72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5.75" customHeight="1" spans="1:26" x14ac:dyDescent="0.25">
      <c r="A45" s="58"/>
      <c r="B45" s="72"/>
      <c r="C45" s="58"/>
      <c r="D45" s="58"/>
      <c r="E45" s="72"/>
      <c r="F45" s="58"/>
      <c r="G45" s="74"/>
      <c r="H45" s="112"/>
      <c r="I45" s="112"/>
      <c r="J45" s="112"/>
      <c r="K45" s="112"/>
      <c r="L45" s="112"/>
      <c r="M45" s="72"/>
      <c r="N45" s="72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5.75" customHeight="1" spans="1:26" x14ac:dyDescent="0.25">
      <c r="A46" s="58"/>
      <c r="B46" s="72"/>
      <c r="C46" s="58"/>
      <c r="D46" s="58"/>
      <c r="E46" s="72"/>
      <c r="F46" s="58"/>
      <c r="G46" s="74"/>
      <c r="H46" s="112"/>
      <c r="I46" s="112"/>
      <c r="J46" s="112"/>
      <c r="K46" s="112"/>
      <c r="L46" s="112"/>
      <c r="M46" s="72"/>
      <c r="N46" s="72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5.75" customHeight="1" spans="1:26" x14ac:dyDescent="0.25">
      <c r="A47" s="58"/>
      <c r="B47" s="72"/>
      <c r="C47" s="58"/>
      <c r="D47" s="58"/>
      <c r="E47" s="72"/>
      <c r="F47" s="58"/>
      <c r="G47" s="74"/>
      <c r="H47" s="112"/>
      <c r="I47" s="112"/>
      <c r="J47" s="112"/>
      <c r="K47" s="112"/>
      <c r="L47" s="112"/>
      <c r="M47" s="72"/>
      <c r="N47" s="72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5.75" customHeight="1" spans="1:26" x14ac:dyDescent="0.25">
      <c r="A48" s="58"/>
      <c r="B48" s="72"/>
      <c r="C48" s="58"/>
      <c r="D48" s="58"/>
      <c r="E48" s="72"/>
      <c r="F48" s="58"/>
      <c r="G48" s="74"/>
      <c r="H48" s="112"/>
      <c r="I48" s="112"/>
      <c r="J48" s="112"/>
      <c r="K48" s="112"/>
      <c r="L48" s="112"/>
      <c r="M48" s="72"/>
      <c r="N48" s="72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5.75" customHeight="1" spans="1:26" x14ac:dyDescent="0.25">
      <c r="A49" s="58"/>
      <c r="B49" s="72"/>
      <c r="C49" s="58"/>
      <c r="D49" s="58"/>
      <c r="E49" s="72"/>
      <c r="F49" s="58"/>
      <c r="G49" s="74"/>
      <c r="H49" s="112"/>
      <c r="I49" s="112"/>
      <c r="J49" s="112"/>
      <c r="K49" s="112"/>
      <c r="L49" s="112"/>
      <c r="M49" s="72"/>
      <c r="N49" s="72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5.75" customHeight="1" spans="1:26" x14ac:dyDescent="0.25">
      <c r="A50" s="58"/>
      <c r="B50" s="72"/>
      <c r="C50" s="58"/>
      <c r="D50" s="58"/>
      <c r="E50" s="72"/>
      <c r="F50" s="58"/>
      <c r="G50" s="74"/>
      <c r="H50" s="112"/>
      <c r="I50" s="112"/>
      <c r="J50" s="112"/>
      <c r="K50" s="112"/>
      <c r="L50" s="112"/>
      <c r="M50" s="72"/>
      <c r="N50" s="72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5.75" customHeight="1" spans="1:26" x14ac:dyDescent="0.25">
      <c r="A51" s="58"/>
      <c r="B51" s="72"/>
      <c r="C51" s="58"/>
      <c r="D51" s="58"/>
      <c r="E51" s="72"/>
      <c r="F51" s="58"/>
      <c r="G51" s="74"/>
      <c r="H51" s="112"/>
      <c r="I51" s="112"/>
      <c r="J51" s="112"/>
      <c r="K51" s="112"/>
      <c r="L51" s="112"/>
      <c r="M51" s="72"/>
      <c r="N51" s="72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5.75" customHeight="1" spans="1:26" x14ac:dyDescent="0.25">
      <c r="A52" s="58"/>
      <c r="B52" s="72"/>
      <c r="C52" s="58"/>
      <c r="D52" s="58"/>
      <c r="E52" s="72"/>
      <c r="F52" s="58"/>
      <c r="G52" s="74"/>
      <c r="H52" s="112"/>
      <c r="I52" s="112"/>
      <c r="J52" s="112"/>
      <c r="K52" s="112"/>
      <c r="L52" s="112"/>
      <c r="M52" s="72"/>
      <c r="N52" s="72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5.75" customHeight="1" spans="1:26" x14ac:dyDescent="0.25">
      <c r="A53" s="58"/>
      <c r="B53" s="72"/>
      <c r="C53" s="58"/>
      <c r="D53" s="58"/>
      <c r="E53" s="72"/>
      <c r="F53" s="58"/>
      <c r="G53" s="74"/>
      <c r="H53" s="112"/>
      <c r="I53" s="112"/>
      <c r="J53" s="112"/>
      <c r="K53" s="112"/>
      <c r="L53" s="112"/>
      <c r="M53" s="72"/>
      <c r="N53" s="72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5.75" customHeight="1" spans="1:26" x14ac:dyDescent="0.25">
      <c r="A54" s="58"/>
      <c r="B54" s="72"/>
      <c r="C54" s="58"/>
      <c r="D54" s="58"/>
      <c r="E54" s="72"/>
      <c r="F54" s="58"/>
      <c r="G54" s="74"/>
      <c r="H54" s="112"/>
      <c r="I54" s="112"/>
      <c r="J54" s="112"/>
      <c r="K54" s="112"/>
      <c r="L54" s="112"/>
      <c r="M54" s="72"/>
      <c r="N54" s="72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5.75" customHeight="1" spans="1:26" x14ac:dyDescent="0.25">
      <c r="A55" s="58"/>
      <c r="B55" s="72"/>
      <c r="C55" s="58"/>
      <c r="D55" s="58"/>
      <c r="E55" s="72"/>
      <c r="F55" s="58"/>
      <c r="G55" s="74"/>
      <c r="H55" s="112"/>
      <c r="I55" s="112"/>
      <c r="J55" s="112"/>
      <c r="K55" s="112"/>
      <c r="L55" s="112"/>
      <c r="M55" s="72"/>
      <c r="N55" s="72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5.75" customHeight="1" spans="1:26" x14ac:dyDescent="0.25">
      <c r="A56" s="58"/>
      <c r="B56" s="72"/>
      <c r="C56" s="58"/>
      <c r="D56" s="58"/>
      <c r="E56" s="72"/>
      <c r="F56" s="58"/>
      <c r="G56" s="74"/>
      <c r="H56" s="112"/>
      <c r="I56" s="112"/>
      <c r="J56" s="112"/>
      <c r="K56" s="112"/>
      <c r="L56" s="112"/>
      <c r="M56" s="72"/>
      <c r="N56" s="72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5.75" customHeight="1" spans="1:26" x14ac:dyDescent="0.25">
      <c r="A57" s="58"/>
      <c r="B57" s="72"/>
      <c r="C57" s="58"/>
      <c r="D57" s="58"/>
      <c r="E57" s="72"/>
      <c r="F57" s="58"/>
      <c r="G57" s="74"/>
      <c r="H57" s="112"/>
      <c r="I57" s="112"/>
      <c r="J57" s="112"/>
      <c r="K57" s="112"/>
      <c r="L57" s="112"/>
      <c r="M57" s="72"/>
      <c r="N57" s="72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5.75" customHeight="1" spans="1:26" x14ac:dyDescent="0.25">
      <c r="A58" s="58"/>
      <c r="B58" s="72"/>
      <c r="C58" s="58"/>
      <c r="D58" s="58"/>
      <c r="E58" s="72"/>
      <c r="F58" s="58"/>
      <c r="G58" s="74"/>
      <c r="H58" s="112"/>
      <c r="I58" s="112"/>
      <c r="J58" s="112"/>
      <c r="K58" s="112"/>
      <c r="L58" s="112"/>
      <c r="M58" s="72"/>
      <c r="N58" s="72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5.75" customHeight="1" spans="1:26" x14ac:dyDescent="0.25">
      <c r="A59" s="58"/>
      <c r="B59" s="72"/>
      <c r="C59" s="58"/>
      <c r="D59" s="58"/>
      <c r="E59" s="72"/>
      <c r="F59" s="58"/>
      <c r="G59" s="74"/>
      <c r="H59" s="112"/>
      <c r="I59" s="112"/>
      <c r="J59" s="112"/>
      <c r="K59" s="112"/>
      <c r="L59" s="112"/>
      <c r="M59" s="72"/>
      <c r="N59" s="72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5.75" customHeight="1" spans="1:26" x14ac:dyDescent="0.25">
      <c r="A60" s="58"/>
      <c r="B60" s="72"/>
      <c r="C60" s="58"/>
      <c r="D60" s="58"/>
      <c r="E60" s="72"/>
      <c r="F60" s="58"/>
      <c r="G60" s="74"/>
      <c r="H60" s="112"/>
      <c r="I60" s="112"/>
      <c r="J60" s="112"/>
      <c r="K60" s="112"/>
      <c r="L60" s="112"/>
      <c r="M60" s="72"/>
      <c r="N60" s="72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5.75" customHeight="1" spans="1:26" x14ac:dyDescent="0.25">
      <c r="A61" s="58"/>
      <c r="B61" s="72"/>
      <c r="C61" s="58"/>
      <c r="D61" s="58"/>
      <c r="E61" s="72"/>
      <c r="F61" s="58"/>
      <c r="G61" s="74"/>
      <c r="H61" s="112"/>
      <c r="I61" s="112"/>
      <c r="J61" s="112"/>
      <c r="K61" s="112"/>
      <c r="L61" s="112"/>
      <c r="M61" s="72"/>
      <c r="N61" s="72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5.75" customHeight="1" spans="1:26" x14ac:dyDescent="0.25">
      <c r="A62" s="58"/>
      <c r="B62" s="72"/>
      <c r="C62" s="58"/>
      <c r="D62" s="58"/>
      <c r="E62" s="72"/>
      <c r="F62" s="58"/>
      <c r="G62" s="74"/>
      <c r="H62" s="112"/>
      <c r="I62" s="112"/>
      <c r="J62" s="112"/>
      <c r="K62" s="112"/>
      <c r="L62" s="112"/>
      <c r="M62" s="72"/>
      <c r="N62" s="72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5.75" customHeight="1" spans="1:26" x14ac:dyDescent="0.25">
      <c r="A63" s="58"/>
      <c r="B63" s="72"/>
      <c r="C63" s="58"/>
      <c r="D63" s="58"/>
      <c r="E63" s="72"/>
      <c r="F63" s="58"/>
      <c r="G63" s="74"/>
      <c r="H63" s="112"/>
      <c r="I63" s="112"/>
      <c r="J63" s="112"/>
      <c r="K63" s="112"/>
      <c r="L63" s="112"/>
      <c r="M63" s="72"/>
      <c r="N63" s="72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5.75" customHeight="1" spans="1:26" x14ac:dyDescent="0.25">
      <c r="A64" s="58"/>
      <c r="B64" s="72"/>
      <c r="C64" s="58"/>
      <c r="D64" s="58"/>
      <c r="E64" s="72"/>
      <c r="F64" s="58"/>
      <c r="G64" s="74"/>
      <c r="H64" s="112"/>
      <c r="I64" s="112"/>
      <c r="J64" s="112"/>
      <c r="K64" s="112"/>
      <c r="L64" s="112"/>
      <c r="M64" s="72"/>
      <c r="N64" s="72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5.75" customHeight="1" spans="1:26" x14ac:dyDescent="0.25">
      <c r="A65" s="58"/>
      <c r="B65" s="72"/>
      <c r="C65" s="58"/>
      <c r="D65" s="58"/>
      <c r="E65" s="72"/>
      <c r="F65" s="58"/>
      <c r="G65" s="74"/>
      <c r="H65" s="112"/>
      <c r="I65" s="112"/>
      <c r="J65" s="112"/>
      <c r="K65" s="112"/>
      <c r="L65" s="112"/>
      <c r="M65" s="72"/>
      <c r="N65" s="72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5.75" customHeight="1" spans="1:26" x14ac:dyDescent="0.25">
      <c r="A66" s="58"/>
      <c r="B66" s="72"/>
      <c r="C66" s="58"/>
      <c r="D66" s="58"/>
      <c r="E66" s="72"/>
      <c r="F66" s="58"/>
      <c r="G66" s="74"/>
      <c r="H66" s="112"/>
      <c r="I66" s="112"/>
      <c r="J66" s="112"/>
      <c r="K66" s="112"/>
      <c r="L66" s="112"/>
      <c r="M66" s="72"/>
      <c r="N66" s="72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5.75" customHeight="1" spans="1:26" x14ac:dyDescent="0.25">
      <c r="A67" s="58"/>
      <c r="B67" s="72"/>
      <c r="C67" s="58"/>
      <c r="D67" s="58"/>
      <c r="E67" s="72"/>
      <c r="F67" s="58"/>
      <c r="G67" s="74"/>
      <c r="H67" s="112"/>
      <c r="I67" s="112"/>
      <c r="J67" s="112"/>
      <c r="K67" s="112"/>
      <c r="L67" s="112"/>
      <c r="M67" s="72"/>
      <c r="N67" s="72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5.75" customHeight="1" spans="1:26" x14ac:dyDescent="0.25">
      <c r="A68" s="58"/>
      <c r="B68" s="72"/>
      <c r="C68" s="58"/>
      <c r="D68" s="58"/>
      <c r="E68" s="72"/>
      <c r="F68" s="58"/>
      <c r="G68" s="74"/>
      <c r="H68" s="112"/>
      <c r="I68" s="112"/>
      <c r="J68" s="112"/>
      <c r="K68" s="112"/>
      <c r="L68" s="112"/>
      <c r="M68" s="72"/>
      <c r="N68" s="72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5.75" customHeight="1" spans="1:26" x14ac:dyDescent="0.25">
      <c r="A69" s="58"/>
      <c r="B69" s="72"/>
      <c r="C69" s="58"/>
      <c r="D69" s="58"/>
      <c r="E69" s="72"/>
      <c r="F69" s="58"/>
      <c r="G69" s="74"/>
      <c r="H69" s="112"/>
      <c r="I69" s="112"/>
      <c r="J69" s="112"/>
      <c r="K69" s="112"/>
      <c r="L69" s="112"/>
      <c r="M69" s="72"/>
      <c r="N69" s="72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5.75" customHeight="1" spans="1:26" x14ac:dyDescent="0.25">
      <c r="A70" s="58"/>
      <c r="B70" s="72"/>
      <c r="C70" s="58"/>
      <c r="D70" s="58"/>
      <c r="E70" s="72"/>
      <c r="F70" s="58"/>
      <c r="G70" s="74"/>
      <c r="H70" s="112"/>
      <c r="I70" s="112"/>
      <c r="J70" s="112"/>
      <c r="K70" s="112"/>
      <c r="L70" s="112"/>
      <c r="M70" s="72"/>
      <c r="N70" s="72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5.75" customHeight="1" spans="1:26" x14ac:dyDescent="0.25">
      <c r="A71" s="58"/>
      <c r="B71" s="72"/>
      <c r="C71" s="58"/>
      <c r="D71" s="58"/>
      <c r="E71" s="72"/>
      <c r="F71" s="58"/>
      <c r="G71" s="74"/>
      <c r="H71" s="112"/>
      <c r="I71" s="112"/>
      <c r="J71" s="112"/>
      <c r="K71" s="112"/>
      <c r="L71" s="112"/>
      <c r="M71" s="72"/>
      <c r="N71" s="72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5.75" customHeight="1" spans="1:26" x14ac:dyDescent="0.25">
      <c r="A72" s="58"/>
      <c r="B72" s="72"/>
      <c r="C72" s="58"/>
      <c r="D72" s="58"/>
      <c r="E72" s="72"/>
      <c r="F72" s="58"/>
      <c r="G72" s="74"/>
      <c r="H72" s="112"/>
      <c r="I72" s="112"/>
      <c r="J72" s="112"/>
      <c r="K72" s="112"/>
      <c r="L72" s="112"/>
      <c r="M72" s="72"/>
      <c r="N72" s="72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5.75" customHeight="1" spans="1:26" x14ac:dyDescent="0.25">
      <c r="A73" s="58"/>
      <c r="B73" s="72"/>
      <c r="C73" s="58"/>
      <c r="D73" s="58"/>
      <c r="E73" s="72"/>
      <c r="F73" s="58"/>
      <c r="G73" s="74"/>
      <c r="H73" s="112"/>
      <c r="I73" s="112"/>
      <c r="J73" s="112"/>
      <c r="K73" s="112"/>
      <c r="L73" s="112"/>
      <c r="M73" s="72"/>
      <c r="N73" s="72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5.75" customHeight="1" spans="1:26" x14ac:dyDescent="0.25">
      <c r="A74" s="58"/>
      <c r="B74" s="72"/>
      <c r="C74" s="58"/>
      <c r="D74" s="58"/>
      <c r="E74" s="72"/>
      <c r="F74" s="58"/>
      <c r="G74" s="74"/>
      <c r="H74" s="112"/>
      <c r="I74" s="112"/>
      <c r="J74" s="112"/>
      <c r="K74" s="112"/>
      <c r="L74" s="112"/>
      <c r="M74" s="72"/>
      <c r="N74" s="72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5.75" customHeight="1" spans="1:26" x14ac:dyDescent="0.25">
      <c r="A75" s="58"/>
      <c r="B75" s="72"/>
      <c r="C75" s="58"/>
      <c r="D75" s="58"/>
      <c r="E75" s="72"/>
      <c r="F75" s="58"/>
      <c r="G75" s="74"/>
      <c r="H75" s="112"/>
      <c r="I75" s="112"/>
      <c r="J75" s="112"/>
      <c r="K75" s="112"/>
      <c r="L75" s="112"/>
      <c r="M75" s="72"/>
      <c r="N75" s="72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5.75" customHeight="1" spans="1:26" x14ac:dyDescent="0.25">
      <c r="A76" s="58"/>
      <c r="B76" s="72"/>
      <c r="C76" s="58"/>
      <c r="D76" s="58"/>
      <c r="E76" s="72"/>
      <c r="F76" s="58"/>
      <c r="G76" s="74"/>
      <c r="H76" s="112"/>
      <c r="I76" s="112"/>
      <c r="J76" s="112"/>
      <c r="K76" s="112"/>
      <c r="L76" s="112"/>
      <c r="M76" s="72"/>
      <c r="N76" s="72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5.75" customHeight="1" spans="1:26" x14ac:dyDescent="0.25">
      <c r="A77" s="58"/>
      <c r="B77" s="72"/>
      <c r="C77" s="58"/>
      <c r="D77" s="58"/>
      <c r="E77" s="72"/>
      <c r="F77" s="58"/>
      <c r="G77" s="74"/>
      <c r="H77" s="112"/>
      <c r="I77" s="112"/>
      <c r="J77" s="112"/>
      <c r="K77" s="112"/>
      <c r="L77" s="112"/>
      <c r="M77" s="72"/>
      <c r="N77" s="72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5.75" customHeight="1" spans="1:26" x14ac:dyDescent="0.25">
      <c r="A78" s="58"/>
      <c r="B78" s="72"/>
      <c r="C78" s="58"/>
      <c r="D78" s="58"/>
      <c r="E78" s="72"/>
      <c r="F78" s="58"/>
      <c r="G78" s="74"/>
      <c r="H78" s="112"/>
      <c r="I78" s="112"/>
      <c r="J78" s="112"/>
      <c r="K78" s="112"/>
      <c r="L78" s="112"/>
      <c r="M78" s="72"/>
      <c r="N78" s="72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5.75" customHeight="1" spans="1:26" x14ac:dyDescent="0.25">
      <c r="A79" s="58"/>
      <c r="B79" s="72"/>
      <c r="C79" s="58"/>
      <c r="D79" s="58"/>
      <c r="E79" s="72"/>
      <c r="F79" s="58"/>
      <c r="G79" s="74"/>
      <c r="H79" s="112"/>
      <c r="I79" s="112"/>
      <c r="J79" s="112"/>
      <c r="K79" s="112"/>
      <c r="L79" s="112"/>
      <c r="M79" s="72"/>
      <c r="N79" s="72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5.75" customHeight="1" spans="1:26" x14ac:dyDescent="0.25">
      <c r="A80" s="58"/>
      <c r="B80" s="72"/>
      <c r="C80" s="58"/>
      <c r="D80" s="58"/>
      <c r="E80" s="72"/>
      <c r="F80" s="58"/>
      <c r="G80" s="74"/>
      <c r="H80" s="112"/>
      <c r="I80" s="112"/>
      <c r="J80" s="112"/>
      <c r="K80" s="112"/>
      <c r="L80" s="112"/>
      <c r="M80" s="72"/>
      <c r="N80" s="72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5.75" customHeight="1" spans="1:26" x14ac:dyDescent="0.25">
      <c r="A81" s="58"/>
      <c r="B81" s="72"/>
      <c r="C81" s="58"/>
      <c r="D81" s="58"/>
      <c r="E81" s="72"/>
      <c r="F81" s="58"/>
      <c r="G81" s="74"/>
      <c r="H81" s="112"/>
      <c r="I81" s="112"/>
      <c r="J81" s="112"/>
      <c r="K81" s="112"/>
      <c r="L81" s="112"/>
      <c r="M81" s="72"/>
      <c r="N81" s="72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5.75" customHeight="1" spans="1:26" x14ac:dyDescent="0.25">
      <c r="A82" s="58"/>
      <c r="B82" s="72"/>
      <c r="C82" s="58"/>
      <c r="D82" s="58"/>
      <c r="E82" s="72"/>
      <c r="F82" s="58"/>
      <c r="G82" s="74"/>
      <c r="H82" s="112"/>
      <c r="I82" s="112"/>
      <c r="J82" s="112"/>
      <c r="K82" s="112"/>
      <c r="L82" s="112"/>
      <c r="M82" s="72"/>
      <c r="N82" s="72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5.75" customHeight="1" spans="1:26" x14ac:dyDescent="0.25">
      <c r="A83" s="58"/>
      <c r="B83" s="72"/>
      <c r="C83" s="58"/>
      <c r="D83" s="58"/>
      <c r="E83" s="72"/>
      <c r="F83" s="58"/>
      <c r="G83" s="74"/>
      <c r="H83" s="112"/>
      <c r="I83" s="112"/>
      <c r="J83" s="112"/>
      <c r="K83" s="112"/>
      <c r="L83" s="112"/>
      <c r="M83" s="72"/>
      <c r="N83" s="72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5.75" customHeight="1" spans="1:26" x14ac:dyDescent="0.25">
      <c r="A84" s="58"/>
      <c r="B84" s="72"/>
      <c r="C84" s="58"/>
      <c r="D84" s="58"/>
      <c r="E84" s="72"/>
      <c r="F84" s="58"/>
      <c r="G84" s="74"/>
      <c r="H84" s="112"/>
      <c r="I84" s="112"/>
      <c r="J84" s="112"/>
      <c r="K84" s="112"/>
      <c r="L84" s="112"/>
      <c r="M84" s="72"/>
      <c r="N84" s="72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5.75" customHeight="1" spans="1:26" x14ac:dyDescent="0.25">
      <c r="A85" s="58"/>
      <c r="B85" s="72"/>
      <c r="C85" s="58"/>
      <c r="D85" s="58"/>
      <c r="E85" s="72"/>
      <c r="F85" s="58"/>
      <c r="G85" s="74"/>
      <c r="H85" s="112"/>
      <c r="I85" s="112"/>
      <c r="J85" s="112"/>
      <c r="K85" s="112"/>
      <c r="L85" s="112"/>
      <c r="M85" s="72"/>
      <c r="N85" s="72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5.75" customHeight="1" spans="1:26" x14ac:dyDescent="0.25">
      <c r="A86" s="58"/>
      <c r="B86" s="72"/>
      <c r="C86" s="58"/>
      <c r="D86" s="58"/>
      <c r="E86" s="72"/>
      <c r="F86" s="58"/>
      <c r="G86" s="74"/>
      <c r="H86" s="112"/>
      <c r="I86" s="112"/>
      <c r="J86" s="112"/>
      <c r="K86" s="112"/>
      <c r="L86" s="112"/>
      <c r="M86" s="72"/>
      <c r="N86" s="72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5.75" customHeight="1" spans="1:26" x14ac:dyDescent="0.25">
      <c r="A87" s="58"/>
      <c r="B87" s="72"/>
      <c r="C87" s="58"/>
      <c r="D87" s="58"/>
      <c r="E87" s="72"/>
      <c r="F87" s="58"/>
      <c r="G87" s="74"/>
      <c r="H87" s="112"/>
      <c r="I87" s="112"/>
      <c r="J87" s="112"/>
      <c r="K87" s="112"/>
      <c r="L87" s="112"/>
      <c r="M87" s="72"/>
      <c r="N87" s="72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5.75" customHeight="1" spans="1:26" x14ac:dyDescent="0.25">
      <c r="A88" s="58"/>
      <c r="B88" s="72"/>
      <c r="C88" s="58"/>
      <c r="D88" s="58"/>
      <c r="E88" s="72"/>
      <c r="F88" s="58"/>
      <c r="G88" s="74"/>
      <c r="H88" s="112"/>
      <c r="I88" s="112"/>
      <c r="J88" s="112"/>
      <c r="K88" s="112"/>
      <c r="L88" s="112"/>
      <c r="M88" s="72"/>
      <c r="N88" s="72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5.75" customHeight="1" spans="1:26" x14ac:dyDescent="0.25">
      <c r="A89" s="58"/>
      <c r="B89" s="72"/>
      <c r="C89" s="58"/>
      <c r="D89" s="58"/>
      <c r="E89" s="72"/>
      <c r="F89" s="58"/>
      <c r="G89" s="74"/>
      <c r="H89" s="112"/>
      <c r="I89" s="112"/>
      <c r="J89" s="112"/>
      <c r="K89" s="112"/>
      <c r="L89" s="112"/>
      <c r="M89" s="72"/>
      <c r="N89" s="72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5.75" customHeight="1" spans="1:26" x14ac:dyDescent="0.25">
      <c r="A90" s="58"/>
      <c r="B90" s="72"/>
      <c r="C90" s="58"/>
      <c r="D90" s="58"/>
      <c r="E90" s="72"/>
      <c r="F90" s="58"/>
      <c r="G90" s="74"/>
      <c r="H90" s="112"/>
      <c r="I90" s="112"/>
      <c r="J90" s="112"/>
      <c r="K90" s="112"/>
      <c r="L90" s="112"/>
      <c r="M90" s="72"/>
      <c r="N90" s="72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5.75" customHeight="1" spans="1:26" x14ac:dyDescent="0.25">
      <c r="A91" s="58"/>
      <c r="B91" s="72"/>
      <c r="C91" s="58"/>
      <c r="D91" s="58"/>
      <c r="E91" s="72"/>
      <c r="F91" s="58"/>
      <c r="G91" s="74"/>
      <c r="H91" s="112"/>
      <c r="I91" s="112"/>
      <c r="J91" s="112"/>
      <c r="K91" s="112"/>
      <c r="L91" s="112"/>
      <c r="M91" s="72"/>
      <c r="N91" s="72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5.75" customHeight="1" spans="1:26" x14ac:dyDescent="0.25">
      <c r="A92" s="58"/>
      <c r="B92" s="72"/>
      <c r="C92" s="58"/>
      <c r="D92" s="58"/>
      <c r="E92" s="72"/>
      <c r="F92" s="58"/>
      <c r="G92" s="74"/>
      <c r="H92" s="112"/>
      <c r="I92" s="112"/>
      <c r="J92" s="112"/>
      <c r="K92" s="112"/>
      <c r="L92" s="112"/>
      <c r="M92" s="72"/>
      <c r="N92" s="72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5.75" customHeight="1" spans="1:26" x14ac:dyDescent="0.25">
      <c r="A93" s="58"/>
      <c r="B93" s="72"/>
      <c r="C93" s="58"/>
      <c r="D93" s="58"/>
      <c r="E93" s="72"/>
      <c r="F93" s="58"/>
      <c r="G93" s="74"/>
      <c r="H93" s="112"/>
      <c r="I93" s="112"/>
      <c r="J93" s="112"/>
      <c r="K93" s="112"/>
      <c r="L93" s="112"/>
      <c r="M93" s="72"/>
      <c r="N93" s="72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5.75" customHeight="1" spans="1:26" x14ac:dyDescent="0.25">
      <c r="A94" s="58"/>
      <c r="B94" s="72"/>
      <c r="C94" s="58"/>
      <c r="D94" s="58"/>
      <c r="E94" s="72"/>
      <c r="F94" s="58"/>
      <c r="G94" s="74"/>
      <c r="H94" s="112"/>
      <c r="I94" s="112"/>
      <c r="J94" s="112"/>
      <c r="K94" s="112"/>
      <c r="L94" s="112"/>
      <c r="M94" s="72"/>
      <c r="N94" s="72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5.75" customHeight="1" spans="1:26" x14ac:dyDescent="0.25">
      <c r="A95" s="58"/>
      <c r="B95" s="72"/>
      <c r="C95" s="58"/>
      <c r="D95" s="58"/>
      <c r="E95" s="72"/>
      <c r="F95" s="58"/>
      <c r="G95" s="74"/>
      <c r="H95" s="112"/>
      <c r="I95" s="112"/>
      <c r="J95" s="112"/>
      <c r="K95" s="112"/>
      <c r="L95" s="112"/>
      <c r="M95" s="72"/>
      <c r="N95" s="72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5.75" customHeight="1" spans="1:26" x14ac:dyDescent="0.25">
      <c r="A96" s="58"/>
      <c r="B96" s="72"/>
      <c r="C96" s="58"/>
      <c r="D96" s="58"/>
      <c r="E96" s="72"/>
      <c r="F96" s="58"/>
      <c r="G96" s="74"/>
      <c r="H96" s="112"/>
      <c r="I96" s="112"/>
      <c r="J96" s="112"/>
      <c r="K96" s="112"/>
      <c r="L96" s="112"/>
      <c r="M96" s="72"/>
      <c r="N96" s="72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5.75" customHeight="1" spans="1:26" x14ac:dyDescent="0.25">
      <c r="A97" s="58"/>
      <c r="B97" s="72"/>
      <c r="C97" s="58"/>
      <c r="D97" s="58"/>
      <c r="E97" s="72"/>
      <c r="F97" s="58"/>
      <c r="G97" s="74"/>
      <c r="H97" s="112"/>
      <c r="I97" s="112"/>
      <c r="J97" s="112"/>
      <c r="K97" s="112"/>
      <c r="L97" s="112"/>
      <c r="M97" s="72"/>
      <c r="N97" s="72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5.75" customHeight="1" spans="1:26" x14ac:dyDescent="0.25">
      <c r="A98" s="58"/>
      <c r="B98" s="72"/>
      <c r="C98" s="58"/>
      <c r="D98" s="58"/>
      <c r="E98" s="72"/>
      <c r="F98" s="58"/>
      <c r="G98" s="74"/>
      <c r="H98" s="112"/>
      <c r="I98" s="112"/>
      <c r="J98" s="112"/>
      <c r="K98" s="112"/>
      <c r="L98" s="112"/>
      <c r="M98" s="72"/>
      <c r="N98" s="72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5.75" customHeight="1" spans="1:26" x14ac:dyDescent="0.25">
      <c r="A99" s="58"/>
      <c r="B99" s="72"/>
      <c r="C99" s="58"/>
      <c r="D99" s="58"/>
      <c r="E99" s="72"/>
      <c r="F99" s="58"/>
      <c r="G99" s="74"/>
      <c r="H99" s="112"/>
      <c r="I99" s="112"/>
      <c r="J99" s="112"/>
      <c r="K99" s="112"/>
      <c r="L99" s="112"/>
      <c r="M99" s="72"/>
      <c r="N99" s="72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5.75" customHeight="1" spans="1:26" x14ac:dyDescent="0.25">
      <c r="A100" s="58"/>
      <c r="B100" s="72"/>
      <c r="C100" s="58"/>
      <c r="D100" s="58"/>
      <c r="E100" s="72"/>
      <c r="F100" s="58"/>
      <c r="G100" s="74"/>
      <c r="H100" s="112"/>
      <c r="I100" s="112"/>
      <c r="J100" s="112"/>
      <c r="K100" s="112"/>
      <c r="L100" s="112"/>
      <c r="M100" s="72"/>
      <c r="N100" s="72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5.75" customHeight="1" spans="1:26" x14ac:dyDescent="0.25">
      <c r="A101" s="58"/>
      <c r="B101" s="72"/>
      <c r="C101" s="58"/>
      <c r="D101" s="58"/>
      <c r="E101" s="72"/>
      <c r="F101" s="58"/>
      <c r="G101" s="74"/>
      <c r="H101" s="112"/>
      <c r="I101" s="112"/>
      <c r="J101" s="112"/>
      <c r="K101" s="112"/>
      <c r="L101" s="112"/>
      <c r="M101" s="72"/>
      <c r="N101" s="72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5.75" customHeight="1" spans="1:26" x14ac:dyDescent="0.25">
      <c r="A102" s="58"/>
      <c r="B102" s="72"/>
      <c r="C102" s="58"/>
      <c r="D102" s="58"/>
      <c r="E102" s="72"/>
      <c r="F102" s="58"/>
      <c r="G102" s="74"/>
      <c r="H102" s="112"/>
      <c r="I102" s="112"/>
      <c r="J102" s="112"/>
      <c r="K102" s="112"/>
      <c r="L102" s="112"/>
      <c r="M102" s="72"/>
      <c r="N102" s="72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5.75" customHeight="1" spans="1:26" x14ac:dyDescent="0.25">
      <c r="A103" s="58"/>
      <c r="B103" s="72"/>
      <c r="C103" s="58"/>
      <c r="D103" s="58"/>
      <c r="E103" s="72"/>
      <c r="F103" s="58"/>
      <c r="G103" s="74"/>
      <c r="H103" s="112"/>
      <c r="I103" s="112"/>
      <c r="J103" s="112"/>
      <c r="K103" s="112"/>
      <c r="L103" s="112"/>
      <c r="M103" s="72"/>
      <c r="N103" s="72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5.75" customHeight="1" spans="1:26" x14ac:dyDescent="0.25">
      <c r="A104" s="58"/>
      <c r="B104" s="72"/>
      <c r="C104" s="58"/>
      <c r="D104" s="58"/>
      <c r="E104" s="72"/>
      <c r="F104" s="58"/>
      <c r="G104" s="74"/>
      <c r="H104" s="112"/>
      <c r="I104" s="112"/>
      <c r="J104" s="112"/>
      <c r="K104" s="112"/>
      <c r="L104" s="112"/>
      <c r="M104" s="72"/>
      <c r="N104" s="72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5.75" customHeight="1" spans="1:26" x14ac:dyDescent="0.25">
      <c r="A105" s="58"/>
      <c r="B105" s="72"/>
      <c r="C105" s="58"/>
      <c r="D105" s="58"/>
      <c r="E105" s="72"/>
      <c r="F105" s="58"/>
      <c r="G105" s="74"/>
      <c r="H105" s="112"/>
      <c r="I105" s="112"/>
      <c r="J105" s="112"/>
      <c r="K105" s="112"/>
      <c r="L105" s="112"/>
      <c r="M105" s="72"/>
      <c r="N105" s="72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5.75" customHeight="1" spans="1:26" x14ac:dyDescent="0.25">
      <c r="A106" s="58"/>
      <c r="B106" s="72"/>
      <c r="C106" s="58"/>
      <c r="D106" s="58"/>
      <c r="E106" s="72"/>
      <c r="F106" s="58"/>
      <c r="G106" s="74"/>
      <c r="H106" s="112"/>
      <c r="I106" s="112"/>
      <c r="J106" s="112"/>
      <c r="K106" s="112"/>
      <c r="L106" s="112"/>
      <c r="M106" s="72"/>
      <c r="N106" s="72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5.75" customHeight="1" spans="1:26" x14ac:dyDescent="0.25">
      <c r="A107" s="58"/>
      <c r="B107" s="72"/>
      <c r="C107" s="58"/>
      <c r="D107" s="58"/>
      <c r="E107" s="72"/>
      <c r="F107" s="58"/>
      <c r="G107" s="74"/>
      <c r="H107" s="112"/>
      <c r="I107" s="112"/>
      <c r="J107" s="112"/>
      <c r="K107" s="112"/>
      <c r="L107" s="112"/>
      <c r="M107" s="72"/>
      <c r="N107" s="72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5.75" customHeight="1" spans="1:26" x14ac:dyDescent="0.25">
      <c r="A108" s="58"/>
      <c r="B108" s="72"/>
      <c r="C108" s="58"/>
      <c r="D108" s="58"/>
      <c r="E108" s="72"/>
      <c r="F108" s="58"/>
      <c r="G108" s="74"/>
      <c r="H108" s="112"/>
      <c r="I108" s="112"/>
      <c r="J108" s="112"/>
      <c r="K108" s="112"/>
      <c r="L108" s="112"/>
      <c r="M108" s="72"/>
      <c r="N108" s="72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5.75" customHeight="1" spans="1:26" x14ac:dyDescent="0.25">
      <c r="A109" s="58"/>
      <c r="B109" s="72"/>
      <c r="C109" s="58"/>
      <c r="D109" s="58"/>
      <c r="E109" s="72"/>
      <c r="F109" s="58"/>
      <c r="G109" s="74"/>
      <c r="H109" s="112"/>
      <c r="I109" s="112"/>
      <c r="J109" s="112"/>
      <c r="K109" s="112"/>
      <c r="L109" s="112"/>
      <c r="M109" s="72"/>
      <c r="N109" s="72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5.75" customHeight="1" spans="1:26" x14ac:dyDescent="0.25">
      <c r="A110" s="58"/>
      <c r="B110" s="72"/>
      <c r="C110" s="58"/>
      <c r="D110" s="58"/>
      <c r="E110" s="72"/>
      <c r="F110" s="58"/>
      <c r="G110" s="74"/>
      <c r="H110" s="112"/>
      <c r="I110" s="112"/>
      <c r="J110" s="112"/>
      <c r="K110" s="112"/>
      <c r="L110" s="112"/>
      <c r="M110" s="72"/>
      <c r="N110" s="72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5.75" customHeight="1" spans="1:26" x14ac:dyDescent="0.25">
      <c r="A111" s="58"/>
      <c r="B111" s="72"/>
      <c r="C111" s="58"/>
      <c r="D111" s="58"/>
      <c r="E111" s="72"/>
      <c r="F111" s="58"/>
      <c r="G111" s="74"/>
      <c r="H111" s="112"/>
      <c r="I111" s="112"/>
      <c r="J111" s="112"/>
      <c r="K111" s="112"/>
      <c r="L111" s="112"/>
      <c r="M111" s="72"/>
      <c r="N111" s="72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5.75" customHeight="1" spans="1:26" x14ac:dyDescent="0.25">
      <c r="A112" s="58"/>
      <c r="B112" s="72"/>
      <c r="C112" s="58"/>
      <c r="D112" s="58"/>
      <c r="E112" s="72"/>
      <c r="F112" s="58"/>
      <c r="G112" s="74"/>
      <c r="H112" s="112"/>
      <c r="I112" s="112"/>
      <c r="J112" s="112"/>
      <c r="K112" s="112"/>
      <c r="L112" s="112"/>
      <c r="M112" s="72"/>
      <c r="N112" s="72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5.75" customHeight="1" spans="1:26" x14ac:dyDescent="0.25">
      <c r="A113" s="58"/>
      <c r="B113" s="72"/>
      <c r="C113" s="58"/>
      <c r="D113" s="58"/>
      <c r="E113" s="72"/>
      <c r="F113" s="58"/>
      <c r="G113" s="74"/>
      <c r="H113" s="112"/>
      <c r="I113" s="112"/>
      <c r="J113" s="112"/>
      <c r="K113" s="112"/>
      <c r="L113" s="112"/>
      <c r="M113" s="72"/>
      <c r="N113" s="72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5.75" customHeight="1" spans="1:26" x14ac:dyDescent="0.25">
      <c r="A114" s="58"/>
      <c r="B114" s="72"/>
      <c r="C114" s="58"/>
      <c r="D114" s="58"/>
      <c r="E114" s="72"/>
      <c r="F114" s="58"/>
      <c r="G114" s="74"/>
      <c r="H114" s="112"/>
      <c r="I114" s="112"/>
      <c r="J114" s="112"/>
      <c r="K114" s="112"/>
      <c r="L114" s="112"/>
      <c r="M114" s="72"/>
      <c r="N114" s="72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5.75" customHeight="1" spans="1:26" x14ac:dyDescent="0.25">
      <c r="A115" s="58"/>
      <c r="B115" s="72"/>
      <c r="C115" s="58"/>
      <c r="D115" s="58"/>
      <c r="E115" s="72"/>
      <c r="F115" s="58"/>
      <c r="G115" s="74"/>
      <c r="H115" s="112"/>
      <c r="I115" s="112"/>
      <c r="J115" s="112"/>
      <c r="K115" s="112"/>
      <c r="L115" s="112"/>
      <c r="M115" s="72"/>
      <c r="N115" s="72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5.75" customHeight="1" spans="1:26" x14ac:dyDescent="0.25">
      <c r="A116" s="58"/>
      <c r="B116" s="72"/>
      <c r="C116" s="58"/>
      <c r="D116" s="58"/>
      <c r="E116" s="72"/>
      <c r="F116" s="58"/>
      <c r="G116" s="74"/>
      <c r="H116" s="112"/>
      <c r="I116" s="112"/>
      <c r="J116" s="112"/>
      <c r="K116" s="112"/>
      <c r="L116" s="112"/>
      <c r="M116" s="72"/>
      <c r="N116" s="72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5.75" customHeight="1" spans="1:26" x14ac:dyDescent="0.25">
      <c r="A117" s="58"/>
      <c r="B117" s="72"/>
      <c r="C117" s="58"/>
      <c r="D117" s="58"/>
      <c r="E117" s="72"/>
      <c r="F117" s="58"/>
      <c r="G117" s="74"/>
      <c r="H117" s="112"/>
      <c r="I117" s="112"/>
      <c r="J117" s="112"/>
      <c r="K117" s="112"/>
      <c r="L117" s="112"/>
      <c r="M117" s="72"/>
      <c r="N117" s="72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5.75" customHeight="1" spans="1:26" x14ac:dyDescent="0.25">
      <c r="A118" s="58"/>
      <c r="B118" s="72"/>
      <c r="C118" s="58"/>
      <c r="D118" s="58"/>
      <c r="E118" s="72"/>
      <c r="F118" s="58"/>
      <c r="G118" s="74"/>
      <c r="H118" s="112"/>
      <c r="I118" s="112"/>
      <c r="J118" s="112"/>
      <c r="K118" s="112"/>
      <c r="L118" s="112"/>
      <c r="M118" s="72"/>
      <c r="N118" s="72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5.75" customHeight="1" spans="1:26" x14ac:dyDescent="0.25">
      <c r="A119" s="58"/>
      <c r="B119" s="72"/>
      <c r="C119" s="58"/>
      <c r="D119" s="58"/>
      <c r="E119" s="72"/>
      <c r="F119" s="58"/>
      <c r="G119" s="74"/>
      <c r="H119" s="112"/>
      <c r="I119" s="112"/>
      <c r="J119" s="112"/>
      <c r="K119" s="112"/>
      <c r="L119" s="112"/>
      <c r="M119" s="72"/>
      <c r="N119" s="72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5.75" customHeight="1" spans="1:26" x14ac:dyDescent="0.25">
      <c r="A120" s="58"/>
      <c r="B120" s="72"/>
      <c r="C120" s="58"/>
      <c r="D120" s="58"/>
      <c r="E120" s="72"/>
      <c r="F120" s="58"/>
      <c r="G120" s="74"/>
      <c r="H120" s="112"/>
      <c r="I120" s="112"/>
      <c r="J120" s="112"/>
      <c r="K120" s="112"/>
      <c r="L120" s="112"/>
      <c r="M120" s="72"/>
      <c r="N120" s="72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5.75" customHeight="1" spans="1:26" x14ac:dyDescent="0.25">
      <c r="A121" s="58"/>
      <c r="B121" s="72"/>
      <c r="C121" s="58"/>
      <c r="D121" s="58"/>
      <c r="E121" s="72"/>
      <c r="F121" s="58"/>
      <c r="G121" s="74"/>
      <c r="H121" s="112"/>
      <c r="I121" s="112"/>
      <c r="J121" s="112"/>
      <c r="K121" s="112"/>
      <c r="L121" s="112"/>
      <c r="M121" s="72"/>
      <c r="N121" s="72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5.75" customHeight="1" spans="1:26" x14ac:dyDescent="0.25">
      <c r="A122" s="58"/>
      <c r="B122" s="72"/>
      <c r="C122" s="58"/>
      <c r="D122" s="58"/>
      <c r="E122" s="72"/>
      <c r="F122" s="58"/>
      <c r="G122" s="74"/>
      <c r="H122" s="112"/>
      <c r="I122" s="112"/>
      <c r="J122" s="112"/>
      <c r="K122" s="112"/>
      <c r="L122" s="112"/>
      <c r="M122" s="72"/>
      <c r="N122" s="72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5.75" customHeight="1" spans="1:26" x14ac:dyDescent="0.25">
      <c r="A123" s="58"/>
      <c r="B123" s="72"/>
      <c r="C123" s="58"/>
      <c r="D123" s="58"/>
      <c r="E123" s="72"/>
      <c r="F123" s="58"/>
      <c r="G123" s="74"/>
      <c r="H123" s="112"/>
      <c r="I123" s="112"/>
      <c r="J123" s="112"/>
      <c r="K123" s="112"/>
      <c r="L123" s="112"/>
      <c r="M123" s="72"/>
      <c r="N123" s="72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5.75" customHeight="1" spans="1:26" x14ac:dyDescent="0.25">
      <c r="A124" s="58"/>
      <c r="B124" s="72"/>
      <c r="C124" s="58"/>
      <c r="D124" s="58"/>
      <c r="E124" s="72"/>
      <c r="F124" s="58"/>
      <c r="G124" s="74"/>
      <c r="H124" s="112"/>
      <c r="I124" s="112"/>
      <c r="J124" s="112"/>
      <c r="K124" s="112"/>
      <c r="L124" s="112"/>
      <c r="M124" s="72"/>
      <c r="N124" s="72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5.75" customHeight="1" spans="1:26" x14ac:dyDescent="0.25">
      <c r="A125" s="58"/>
      <c r="B125" s="72"/>
      <c r="C125" s="58"/>
      <c r="D125" s="58"/>
      <c r="E125" s="72"/>
      <c r="F125" s="58"/>
      <c r="G125" s="74"/>
      <c r="H125" s="112"/>
      <c r="I125" s="112"/>
      <c r="J125" s="112"/>
      <c r="K125" s="112"/>
      <c r="L125" s="112"/>
      <c r="M125" s="72"/>
      <c r="N125" s="72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5.75" customHeight="1" spans="1:26" x14ac:dyDescent="0.25">
      <c r="A126" s="58"/>
      <c r="B126" s="72"/>
      <c r="C126" s="58"/>
      <c r="D126" s="58"/>
      <c r="E126" s="72"/>
      <c r="F126" s="58"/>
      <c r="G126" s="74"/>
      <c r="H126" s="112"/>
      <c r="I126" s="112"/>
      <c r="J126" s="112"/>
      <c r="K126" s="112"/>
      <c r="L126" s="112"/>
      <c r="M126" s="72"/>
      <c r="N126" s="72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5.75" customHeight="1" spans="1:26" x14ac:dyDescent="0.25">
      <c r="A127" s="58"/>
      <c r="B127" s="72"/>
      <c r="C127" s="58"/>
      <c r="D127" s="58"/>
      <c r="E127" s="72"/>
      <c r="F127" s="58"/>
      <c r="G127" s="74"/>
      <c r="H127" s="112"/>
      <c r="I127" s="112"/>
      <c r="J127" s="112"/>
      <c r="K127" s="112"/>
      <c r="L127" s="112"/>
      <c r="M127" s="72"/>
      <c r="N127" s="72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5.75" customHeight="1" spans="1:26" x14ac:dyDescent="0.25">
      <c r="A128" s="58"/>
      <c r="B128" s="72"/>
      <c r="C128" s="58"/>
      <c r="D128" s="58"/>
      <c r="E128" s="72"/>
      <c r="F128" s="58"/>
      <c r="G128" s="74"/>
      <c r="H128" s="112"/>
      <c r="I128" s="112"/>
      <c r="J128" s="112"/>
      <c r="K128" s="112"/>
      <c r="L128" s="112"/>
      <c r="M128" s="72"/>
      <c r="N128" s="72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5.75" customHeight="1" spans="1:26" x14ac:dyDescent="0.25">
      <c r="A129" s="58"/>
      <c r="B129" s="72"/>
      <c r="C129" s="58"/>
      <c r="D129" s="58"/>
      <c r="E129" s="72"/>
      <c r="F129" s="58"/>
      <c r="G129" s="74"/>
      <c r="H129" s="112"/>
      <c r="I129" s="112"/>
      <c r="J129" s="112"/>
      <c r="K129" s="112"/>
      <c r="L129" s="112"/>
      <c r="M129" s="72"/>
      <c r="N129" s="72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5.75" customHeight="1" spans="1:26" x14ac:dyDescent="0.25">
      <c r="A130" s="58"/>
      <c r="B130" s="72"/>
      <c r="C130" s="58"/>
      <c r="D130" s="58"/>
      <c r="E130" s="72"/>
      <c r="F130" s="58"/>
      <c r="G130" s="74"/>
      <c r="H130" s="112"/>
      <c r="I130" s="112"/>
      <c r="J130" s="112"/>
      <c r="K130" s="112"/>
      <c r="L130" s="112"/>
      <c r="M130" s="72"/>
      <c r="N130" s="72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5.75" customHeight="1" spans="1:26" x14ac:dyDescent="0.25">
      <c r="A131" s="58"/>
      <c r="B131" s="72"/>
      <c r="C131" s="58"/>
      <c r="D131" s="58"/>
      <c r="E131" s="72"/>
      <c r="F131" s="58"/>
      <c r="G131" s="74"/>
      <c r="H131" s="112"/>
      <c r="I131" s="112"/>
      <c r="J131" s="112"/>
      <c r="K131" s="112"/>
      <c r="L131" s="112"/>
      <c r="M131" s="72"/>
      <c r="N131" s="72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5.75" customHeight="1" spans="1:26" x14ac:dyDescent="0.25">
      <c r="A132" s="58"/>
      <c r="B132" s="72"/>
      <c r="C132" s="58"/>
      <c r="D132" s="58"/>
      <c r="E132" s="72"/>
      <c r="F132" s="58"/>
      <c r="G132" s="74"/>
      <c r="H132" s="112"/>
      <c r="I132" s="112"/>
      <c r="J132" s="112"/>
      <c r="K132" s="112"/>
      <c r="L132" s="112"/>
      <c r="M132" s="72"/>
      <c r="N132" s="72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5.75" customHeight="1" spans="1:26" x14ac:dyDescent="0.25">
      <c r="A133" s="58"/>
      <c r="B133" s="72"/>
      <c r="C133" s="58"/>
      <c r="D133" s="58"/>
      <c r="E133" s="72"/>
      <c r="F133" s="58"/>
      <c r="G133" s="74"/>
      <c r="H133" s="112"/>
      <c r="I133" s="112"/>
      <c r="J133" s="112"/>
      <c r="K133" s="112"/>
      <c r="L133" s="112"/>
      <c r="M133" s="72"/>
      <c r="N133" s="72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5.75" customHeight="1" spans="1:26" x14ac:dyDescent="0.25">
      <c r="A134" s="58"/>
      <c r="B134" s="72"/>
      <c r="C134" s="58"/>
      <c r="D134" s="58"/>
      <c r="E134" s="72"/>
      <c r="F134" s="58"/>
      <c r="G134" s="74"/>
      <c r="H134" s="112"/>
      <c r="I134" s="112"/>
      <c r="J134" s="112"/>
      <c r="K134" s="112"/>
      <c r="L134" s="112"/>
      <c r="M134" s="72"/>
      <c r="N134" s="72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5.75" customHeight="1" spans="1:26" x14ac:dyDescent="0.25">
      <c r="A135" s="58"/>
      <c r="B135" s="72"/>
      <c r="C135" s="58"/>
      <c r="D135" s="58"/>
      <c r="E135" s="72"/>
      <c r="F135" s="58"/>
      <c r="G135" s="74"/>
      <c r="H135" s="112"/>
      <c r="I135" s="112"/>
      <c r="J135" s="112"/>
      <c r="K135" s="112"/>
      <c r="L135" s="112"/>
      <c r="M135" s="72"/>
      <c r="N135" s="72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5.75" customHeight="1" spans="1:26" x14ac:dyDescent="0.25">
      <c r="A136" s="58"/>
      <c r="B136" s="72"/>
      <c r="C136" s="58"/>
      <c r="D136" s="58"/>
      <c r="E136" s="72"/>
      <c r="F136" s="58"/>
      <c r="G136" s="74"/>
      <c r="H136" s="112"/>
      <c r="I136" s="112"/>
      <c r="J136" s="112"/>
      <c r="K136" s="112"/>
      <c r="L136" s="112"/>
      <c r="M136" s="72"/>
      <c r="N136" s="72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5.75" customHeight="1" spans="1:26" x14ac:dyDescent="0.25">
      <c r="A137" s="58"/>
      <c r="B137" s="72"/>
      <c r="C137" s="58"/>
      <c r="D137" s="58"/>
      <c r="E137" s="72"/>
      <c r="F137" s="58"/>
      <c r="G137" s="74"/>
      <c r="H137" s="112"/>
      <c r="I137" s="112"/>
      <c r="J137" s="112"/>
      <c r="K137" s="112"/>
      <c r="L137" s="112"/>
      <c r="M137" s="72"/>
      <c r="N137" s="72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5.75" customHeight="1" spans="1:26" x14ac:dyDescent="0.25">
      <c r="A138" s="58"/>
      <c r="B138" s="72"/>
      <c r="C138" s="58"/>
      <c r="D138" s="58"/>
      <c r="E138" s="72"/>
      <c r="F138" s="58"/>
      <c r="G138" s="74"/>
      <c r="H138" s="112"/>
      <c r="I138" s="112"/>
      <c r="J138" s="112"/>
      <c r="K138" s="112"/>
      <c r="L138" s="112"/>
      <c r="M138" s="72"/>
      <c r="N138" s="72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5.75" customHeight="1" spans="1:26" x14ac:dyDescent="0.25">
      <c r="A139" s="58"/>
      <c r="B139" s="72"/>
      <c r="C139" s="58"/>
      <c r="D139" s="58"/>
      <c r="E139" s="72"/>
      <c r="F139" s="58"/>
      <c r="G139" s="74"/>
      <c r="H139" s="112"/>
      <c r="I139" s="112"/>
      <c r="J139" s="112"/>
      <c r="K139" s="112"/>
      <c r="L139" s="112"/>
      <c r="M139" s="72"/>
      <c r="N139" s="72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5.75" customHeight="1" spans="1:26" x14ac:dyDescent="0.25">
      <c r="A140" s="58"/>
      <c r="B140" s="72"/>
      <c r="C140" s="58"/>
      <c r="D140" s="58"/>
      <c r="E140" s="72"/>
      <c r="F140" s="58"/>
      <c r="G140" s="74"/>
      <c r="H140" s="112"/>
      <c r="I140" s="112"/>
      <c r="J140" s="112"/>
      <c r="K140" s="112"/>
      <c r="L140" s="112"/>
      <c r="M140" s="72"/>
      <c r="N140" s="72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5.75" customHeight="1" spans="1:26" x14ac:dyDescent="0.25">
      <c r="A141" s="58"/>
      <c r="B141" s="72"/>
      <c r="C141" s="58"/>
      <c r="D141" s="58"/>
      <c r="E141" s="72"/>
      <c r="F141" s="58"/>
      <c r="G141" s="74"/>
      <c r="H141" s="112"/>
      <c r="I141" s="112"/>
      <c r="J141" s="112"/>
      <c r="K141" s="112"/>
      <c r="L141" s="112"/>
      <c r="M141" s="72"/>
      <c r="N141" s="72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5.75" customHeight="1" spans="1:26" x14ac:dyDescent="0.25">
      <c r="A142" s="58"/>
      <c r="B142" s="72"/>
      <c r="C142" s="58"/>
      <c r="D142" s="58"/>
      <c r="E142" s="72"/>
      <c r="F142" s="58"/>
      <c r="G142" s="74"/>
      <c r="H142" s="112"/>
      <c r="I142" s="112"/>
      <c r="J142" s="112"/>
      <c r="K142" s="112"/>
      <c r="L142" s="112"/>
      <c r="M142" s="72"/>
      <c r="N142" s="72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5.75" customHeight="1" spans="1:26" x14ac:dyDescent="0.25">
      <c r="A143" s="58"/>
      <c r="B143" s="72"/>
      <c r="C143" s="58"/>
      <c r="D143" s="58"/>
      <c r="E143" s="72"/>
      <c r="F143" s="58"/>
      <c r="G143" s="74"/>
      <c r="H143" s="112"/>
      <c r="I143" s="112"/>
      <c r="J143" s="112"/>
      <c r="K143" s="112"/>
      <c r="L143" s="112"/>
      <c r="M143" s="72"/>
      <c r="N143" s="72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5.75" customHeight="1" spans="1:26" x14ac:dyDescent="0.25">
      <c r="A144" s="58"/>
      <c r="B144" s="72"/>
      <c r="C144" s="58"/>
      <c r="D144" s="58"/>
      <c r="E144" s="72"/>
      <c r="F144" s="58"/>
      <c r="G144" s="74"/>
      <c r="H144" s="112"/>
      <c r="I144" s="112"/>
      <c r="J144" s="112"/>
      <c r="K144" s="112"/>
      <c r="L144" s="112"/>
      <c r="M144" s="72"/>
      <c r="N144" s="72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5.75" customHeight="1" spans="1:26" x14ac:dyDescent="0.25">
      <c r="A145" s="58"/>
      <c r="B145" s="72"/>
      <c r="C145" s="58"/>
      <c r="D145" s="58"/>
      <c r="E145" s="72"/>
      <c r="F145" s="58"/>
      <c r="G145" s="74"/>
      <c r="H145" s="112"/>
      <c r="I145" s="112"/>
      <c r="J145" s="112"/>
      <c r="K145" s="112"/>
      <c r="L145" s="112"/>
      <c r="M145" s="72"/>
      <c r="N145" s="72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5.75" customHeight="1" spans="1:26" x14ac:dyDescent="0.25">
      <c r="A146" s="58"/>
      <c r="B146" s="72"/>
      <c r="C146" s="58"/>
      <c r="D146" s="58"/>
      <c r="E146" s="72"/>
      <c r="F146" s="58"/>
      <c r="G146" s="74"/>
      <c r="H146" s="112"/>
      <c r="I146" s="112"/>
      <c r="J146" s="112"/>
      <c r="K146" s="112"/>
      <c r="L146" s="112"/>
      <c r="M146" s="72"/>
      <c r="N146" s="72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5.75" customHeight="1" spans="1:26" x14ac:dyDescent="0.25">
      <c r="A147" s="58"/>
      <c r="B147" s="72"/>
      <c r="C147" s="58"/>
      <c r="D147" s="58"/>
      <c r="E147" s="72"/>
      <c r="F147" s="58"/>
      <c r="G147" s="74"/>
      <c r="H147" s="112"/>
      <c r="I147" s="112"/>
      <c r="J147" s="112"/>
      <c r="K147" s="112"/>
      <c r="L147" s="112"/>
      <c r="M147" s="72"/>
      <c r="N147" s="72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5.75" customHeight="1" spans="1:26" x14ac:dyDescent="0.25">
      <c r="A148" s="58"/>
      <c r="B148" s="72"/>
      <c r="C148" s="58"/>
      <c r="D148" s="58"/>
      <c r="E148" s="72"/>
      <c r="F148" s="58"/>
      <c r="G148" s="74"/>
      <c r="H148" s="112"/>
      <c r="I148" s="112"/>
      <c r="J148" s="112"/>
      <c r="K148" s="112"/>
      <c r="L148" s="112"/>
      <c r="M148" s="72"/>
      <c r="N148" s="72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5.75" customHeight="1" spans="1:26" x14ac:dyDescent="0.25">
      <c r="A149" s="58"/>
      <c r="B149" s="72"/>
      <c r="C149" s="58"/>
      <c r="D149" s="58"/>
      <c r="E149" s="72"/>
      <c r="F149" s="58"/>
      <c r="G149" s="74"/>
      <c r="H149" s="112"/>
      <c r="I149" s="112"/>
      <c r="J149" s="112"/>
      <c r="K149" s="112"/>
      <c r="L149" s="112"/>
      <c r="M149" s="72"/>
      <c r="N149" s="72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5.75" customHeight="1" spans="1:26" x14ac:dyDescent="0.25">
      <c r="A150" s="58"/>
      <c r="B150" s="72"/>
      <c r="C150" s="58"/>
      <c r="D150" s="58"/>
      <c r="E150" s="72"/>
      <c r="F150" s="58"/>
      <c r="G150" s="74"/>
      <c r="H150" s="112"/>
      <c r="I150" s="112"/>
      <c r="J150" s="112"/>
      <c r="K150" s="112"/>
      <c r="L150" s="112"/>
      <c r="M150" s="72"/>
      <c r="N150" s="72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5.75" customHeight="1" spans="1:26" x14ac:dyDescent="0.25">
      <c r="A151" s="58"/>
      <c r="B151" s="72"/>
      <c r="C151" s="58"/>
      <c r="D151" s="58"/>
      <c r="E151" s="72"/>
      <c r="F151" s="58"/>
      <c r="G151" s="74"/>
      <c r="H151" s="112"/>
      <c r="I151" s="112"/>
      <c r="J151" s="112"/>
      <c r="K151" s="112"/>
      <c r="L151" s="112"/>
      <c r="M151" s="72"/>
      <c r="N151" s="72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5.75" customHeight="1" spans="1:26" x14ac:dyDescent="0.25">
      <c r="A152" s="58"/>
      <c r="B152" s="72"/>
      <c r="C152" s="58"/>
      <c r="D152" s="58"/>
      <c r="E152" s="72"/>
      <c r="F152" s="58"/>
      <c r="G152" s="74"/>
      <c r="H152" s="112"/>
      <c r="I152" s="112"/>
      <c r="J152" s="112"/>
      <c r="K152" s="112"/>
      <c r="L152" s="112"/>
      <c r="M152" s="72"/>
      <c r="N152" s="72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5.75" customHeight="1" spans="1:26" x14ac:dyDescent="0.25">
      <c r="A153" s="58"/>
      <c r="B153" s="72"/>
      <c r="C153" s="58"/>
      <c r="D153" s="58"/>
      <c r="E153" s="72"/>
      <c r="F153" s="58"/>
      <c r="G153" s="74"/>
      <c r="H153" s="112"/>
      <c r="I153" s="112"/>
      <c r="J153" s="112"/>
      <c r="K153" s="112"/>
      <c r="L153" s="112"/>
      <c r="M153" s="72"/>
      <c r="N153" s="72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5.75" customHeight="1" spans="1:26" x14ac:dyDescent="0.25">
      <c r="A154" s="58"/>
      <c r="B154" s="72"/>
      <c r="C154" s="58"/>
      <c r="D154" s="58"/>
      <c r="E154" s="72"/>
      <c r="F154" s="58"/>
      <c r="G154" s="74"/>
      <c r="H154" s="112"/>
      <c r="I154" s="112"/>
      <c r="J154" s="112"/>
      <c r="K154" s="112"/>
      <c r="L154" s="112"/>
      <c r="M154" s="72"/>
      <c r="N154" s="72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5.75" customHeight="1" spans="1:26" x14ac:dyDescent="0.25">
      <c r="A155" s="58"/>
      <c r="B155" s="72"/>
      <c r="C155" s="58"/>
      <c r="D155" s="58"/>
      <c r="E155" s="72"/>
      <c r="F155" s="58"/>
      <c r="G155" s="74"/>
      <c r="H155" s="112"/>
      <c r="I155" s="112"/>
      <c r="J155" s="112"/>
      <c r="K155" s="112"/>
      <c r="L155" s="112"/>
      <c r="M155" s="72"/>
      <c r="N155" s="72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5.75" customHeight="1" spans="1:26" x14ac:dyDescent="0.25">
      <c r="A156" s="58"/>
      <c r="B156" s="72"/>
      <c r="C156" s="58"/>
      <c r="D156" s="58"/>
      <c r="E156" s="72"/>
      <c r="F156" s="58"/>
      <c r="G156" s="74"/>
      <c r="H156" s="112"/>
      <c r="I156" s="112"/>
      <c r="J156" s="112"/>
      <c r="K156" s="112"/>
      <c r="L156" s="112"/>
      <c r="M156" s="72"/>
      <c r="N156" s="72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5.75" customHeight="1" spans="1:26" x14ac:dyDescent="0.25">
      <c r="A157" s="58"/>
      <c r="B157" s="72"/>
      <c r="C157" s="58"/>
      <c r="D157" s="58"/>
      <c r="E157" s="72"/>
      <c r="F157" s="58"/>
      <c r="G157" s="74"/>
      <c r="H157" s="112"/>
      <c r="I157" s="112"/>
      <c r="J157" s="112"/>
      <c r="K157" s="112"/>
      <c r="L157" s="112"/>
      <c r="M157" s="72"/>
      <c r="N157" s="72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5.75" customHeight="1" spans="1:26" x14ac:dyDescent="0.25">
      <c r="A158" s="58"/>
      <c r="B158" s="72"/>
      <c r="C158" s="58"/>
      <c r="D158" s="58"/>
      <c r="E158" s="72"/>
      <c r="F158" s="58"/>
      <c r="G158" s="74"/>
      <c r="H158" s="112"/>
      <c r="I158" s="112"/>
      <c r="J158" s="112"/>
      <c r="K158" s="112"/>
      <c r="L158" s="112"/>
      <c r="M158" s="72"/>
      <c r="N158" s="72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5.75" customHeight="1" spans="1:26" x14ac:dyDescent="0.25">
      <c r="A159" s="58"/>
      <c r="B159" s="72"/>
      <c r="C159" s="58"/>
      <c r="D159" s="58"/>
      <c r="E159" s="72"/>
      <c r="F159" s="58"/>
      <c r="G159" s="74"/>
      <c r="H159" s="112"/>
      <c r="I159" s="112"/>
      <c r="J159" s="112"/>
      <c r="K159" s="112"/>
      <c r="L159" s="112"/>
      <c r="M159" s="72"/>
      <c r="N159" s="72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5.75" customHeight="1" spans="1:26" x14ac:dyDescent="0.25">
      <c r="A160" s="58"/>
      <c r="B160" s="72"/>
      <c r="C160" s="58"/>
      <c r="D160" s="58"/>
      <c r="E160" s="72"/>
      <c r="F160" s="58"/>
      <c r="G160" s="74"/>
      <c r="H160" s="112"/>
      <c r="I160" s="112"/>
      <c r="J160" s="112"/>
      <c r="K160" s="112"/>
      <c r="L160" s="112"/>
      <c r="M160" s="72"/>
      <c r="N160" s="72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5.75" customHeight="1" spans="7:12" x14ac:dyDescent="0.25">
      <c r="G161" s="169"/>
      <c r="H161" s="170"/>
      <c r="I161" s="170"/>
      <c r="J161" s="170"/>
      <c r="K161" s="170"/>
      <c r="L161" s="170"/>
    </row>
    <row r="162" ht="15.75" customHeight="1" spans="7:12" x14ac:dyDescent="0.25">
      <c r="G162" s="169"/>
      <c r="H162" s="170"/>
      <c r="I162" s="170"/>
      <c r="J162" s="170"/>
      <c r="K162" s="170"/>
      <c r="L162" s="170"/>
    </row>
    <row r="163" ht="15.75" customHeight="1" spans="7:12" x14ac:dyDescent="0.25">
      <c r="G163" s="169"/>
      <c r="H163" s="170"/>
      <c r="I163" s="170"/>
      <c r="J163" s="170"/>
      <c r="K163" s="170"/>
      <c r="L163" s="170"/>
    </row>
    <row r="164" ht="15.75" customHeight="1" spans="7:12" x14ac:dyDescent="0.25">
      <c r="G164" s="169"/>
      <c r="H164" s="170"/>
      <c r="I164" s="170"/>
      <c r="J164" s="170"/>
      <c r="K164" s="170"/>
      <c r="L164" s="170"/>
    </row>
    <row r="165" ht="15.75" customHeight="1" spans="7:12" x14ac:dyDescent="0.25">
      <c r="G165" s="169"/>
      <c r="H165" s="170"/>
      <c r="I165" s="170"/>
      <c r="J165" s="170"/>
      <c r="K165" s="170"/>
      <c r="L165" s="170"/>
    </row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</sheetData>
  <mergeCells count="9">
    <mergeCell ref="B1:P1"/>
    <mergeCell ref="B2:E2"/>
    <mergeCell ref="F2:P2"/>
    <mergeCell ref="B3:E3"/>
    <mergeCell ref="F3:P3"/>
    <mergeCell ref="B4:E4"/>
    <mergeCell ref="F4:P4"/>
    <mergeCell ref="E16:F16"/>
    <mergeCell ref="E17:F17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Índice</vt:lpstr>
      <vt:lpstr>EQUIPO TÉCNICO</vt:lpstr>
      <vt:lpstr>EQUIPO ARTÍSTICO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Maca Torres</cp:lastModifiedBy>
  <dcterms:created xsi:type="dcterms:W3CDTF">2026-08-18T01:56:03Z</dcterms:created>
  <dcterms:modified xsi:type="dcterms:W3CDTF">2025-11-17T15:44:46Z</dcterms:modified>
</cp:coreProperties>
</file>